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originais" sheetId="1" r:id="rId5"/>
    <sheet state="visible" name="dados_tratados" sheetId="2" r:id="rId6"/>
    <sheet state="visible" name="analise_descritiva" sheetId="3" r:id="rId7"/>
    <sheet state="visible" name="analise_de_sazonalidade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<sst xmlns="http://schemas.openxmlformats.org/spreadsheetml/2006/main" count="263" uniqueCount="42">
  <si>
    <t>Ordem</t>
  </si>
  <si>
    <t>C.t (cm)</t>
  </si>
  <si>
    <t>Peso (g)</t>
  </si>
  <si>
    <t>Otólito</t>
  </si>
  <si>
    <t>Comprimento (mm) dos otólitos</t>
  </si>
  <si>
    <t>Altura (mm) dos otólitos</t>
  </si>
  <si>
    <t>Largura (mm) dos otólitos</t>
  </si>
  <si>
    <t>Vísceras</t>
  </si>
  <si>
    <t>Conteúdo estomacal</t>
  </si>
  <si>
    <t>Estágio</t>
  </si>
  <si>
    <t>Data</t>
  </si>
  <si>
    <t>X</t>
  </si>
  <si>
    <t>Não coletado</t>
  </si>
  <si>
    <t>Danificado</t>
  </si>
  <si>
    <t>Poliqueta</t>
  </si>
  <si>
    <t>Vazio</t>
  </si>
  <si>
    <t>Ovo de invertebrado</t>
  </si>
  <si>
    <t>id_exemplar</t>
  </si>
  <si>
    <t>comprimento total (cm)</t>
  </si>
  <si>
    <t>peso (g)</t>
  </si>
  <si>
    <t>comprimento (mm) dos otólitos</t>
  </si>
  <si>
    <t>altura (mm) dos otólitos</t>
  </si>
  <si>
    <t>largura (mm) dos otólitos</t>
  </si>
  <si>
    <t>conteúdo estomacal</t>
  </si>
  <si>
    <t>data</t>
  </si>
  <si>
    <t>mes_coleta</t>
  </si>
  <si>
    <t>média dos otólitos</t>
  </si>
  <si>
    <t>média do comprimento</t>
  </si>
  <si>
    <t>média da altura</t>
  </si>
  <si>
    <t>média da largura</t>
  </si>
  <si>
    <t>média de peso</t>
  </si>
  <si>
    <t>média de comprimento</t>
  </si>
  <si>
    <t>tamanho médio dos otólitos</t>
  </si>
  <si>
    <t>Mês</t>
  </si>
  <si>
    <t>Nº de peixes</t>
  </si>
  <si>
    <t>2023-10</t>
  </si>
  <si>
    <t>2023-11</t>
  </si>
  <si>
    <t>2024-02</t>
  </si>
  <si>
    <t>2024-03</t>
  </si>
  <si>
    <t>2024-04</t>
  </si>
  <si>
    <t>2024-05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</si>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</sst>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4" xfId="0" applyAlignment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vertical="center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2" numFmtId="49" xfId="0" applyFont="1" applyNumberFormat="1"/>
    <xf borderId="1" fillId="2" fontId="2" numFmtId="4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4" xfId="0" applyAlignment="1" applyFont="1" applyNumberFormat="1">
      <alignment horizontal="center" readingOrder="0"/>
    </xf>
    <xf borderId="4" fillId="0" fontId="1" numFmtId="4" xfId="0" applyAlignment="1" applyBorder="1" applyFont="1" applyNumberFormat="1">
      <alignment horizontal="center" readingOrder="0" vertical="center"/>
    </xf>
    <xf borderId="5" fillId="0" fontId="1" numFmtId="4" xfId="0" applyAlignment="1" applyBorder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vertical="center"/>
    </xf>
    <xf borderId="6" fillId="0" fontId="1" numFmtId="4" xfId="0" applyAlignment="1" applyBorder="1" applyFont="1" applyNumberFormat="1">
      <alignment horizontal="center" vertical="center"/>
    </xf>
    <xf borderId="7" fillId="0" fontId="1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/>
    </xf>
    <xf borderId="0" fillId="0" fontId="1" numFmtId="49" xfId="0" applyAlignment="1" applyFont="1" applyNumberFormat="1">
      <alignment horizontal="center" vertical="center"/>
    </xf>
    <xf borderId="8" fillId="2" fontId="2" numFmtId="4" xfId="0" applyAlignment="1" applyBorder="1" applyFont="1" applyNumberFormat="1">
      <alignment horizontal="center" readingOrder="0"/>
    </xf>
    <xf borderId="3" fillId="2" fontId="2" numFmtId="4" xfId="0" applyAlignment="1" applyBorder="1" applyFont="1" applyNumberFormat="1">
      <alignment horizontal="center" readingOrder="0"/>
    </xf>
    <xf borderId="3" fillId="2" fontId="2" numFmtId="49" xfId="0" applyAlignment="1" applyBorder="1" applyFont="1" applyNumberFormat="1">
      <alignment horizontal="center" readingOrder="0"/>
    </xf>
    <xf borderId="6" fillId="0" fontId="2" numFmtId="4" xfId="0" applyAlignment="1" applyBorder="1" applyFont="1" applyNumberFormat="1">
      <alignment horizontal="center"/>
    </xf>
    <xf borderId="7" fillId="0" fontId="1" numFmtId="2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4" xfId="0" applyFont="1" applyNumberFormat="1"/>
    <xf borderId="8" fillId="2" fontId="2" numFmtId="0" xfId="0" applyBorder="1" applyFont="1"/>
    <xf borderId="8" fillId="0" fontId="2" numFmtId="0" xfId="0" applyBorder="1" applyFont="1"/>
    <xf borderId="4" fillId="0" fontId="2" numFmtId="14" xfId="0" applyBorder="1" applyFont="1" applyNumberForma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  <a:r>
              <a:rPr b="0">
                <a:solidFill>
                  <a:srgbClr val="434343"/>
                </a:solidFill>
                <a:latin typeface="+mn-lt"/>
              </a:rPr>
              <a:t>Relação entre peso e comprimento dos exemplares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analise_descritiva!$C$1:$C$996</c:f>
            </c:numRef>
          </c:xVal>
          <c:yVal>
            <c:numRef>
              <c:f>analise_descritiva!$B$1:$B$996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7872"/>
        <c:axId val="1731821916"/>
      </c:scatterChart>
      <c:valAx>
        <c:axId val="27278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821916"/>
      </c:valAx>
      <c:valAx>
        <c:axId val="1731821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7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8</xdr:row>
      <xdr:rowOff>171450</xdr:rowOff>
    </xdr:from>
    <xdr:ext cx="4953000" cy="3019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695325</xdr:colOff>
      <xdr:row>25</xdr:row>
      <xdr:rowOff>57150</xdr:rowOff>
    </xdr:from>
    <xdr:ext cx="4895850" cy="3019425"/>
    <xdr:pic>
      <xdr:nvPicPr>
        <xdr:cNvPr id="42459058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80" sheet="dados_tratados"/>
  </cacheSource>
  <cacheFields>
    <cacheField name="id_exemplar" numFmtId="0">
      <sharedItems>
        <s v="20231024-16"/>
        <s v="20231025-15,8"/>
        <s v="20231026-16,8"/>
        <s v="20231027-16"/>
        <s v="20231028-12,8"/>
        <s v="20231029-12"/>
        <s v="20231030-11,5"/>
        <s v="20231031-11,4"/>
        <s v="20231107-11,9"/>
        <s v="20231108-10,5"/>
        <s v="20231109-12"/>
        <s v="20231110-10,9"/>
        <s v="20231111-10,6"/>
        <s v="20231112-10,9"/>
        <s v="20231113-7,5"/>
        <s v="20231114-13,3"/>
        <s v="20231115-12"/>
        <s v="20231116-10,5"/>
        <s v="20231117-11,5"/>
        <s v="20231118-10,5"/>
        <s v="20231119-10,2"/>
        <s v="20231120-11,5"/>
        <s v="20231121-13,4"/>
        <s v="20240225-16,5"/>
        <s v="20240226-17"/>
        <s v="20240227-17"/>
        <s v="20240228-15,5"/>
        <s v="20240325-11,5"/>
        <s v="20240326-11,4"/>
        <s v="20240327-11,3"/>
        <s v="20240328-12"/>
        <s v="20240329-13,5"/>
        <s v="20240330-11,3"/>
        <s v="20240331-9,5"/>
        <s v="20240401-13,5"/>
        <s v="20240402-12"/>
        <s v="20240403-8,5"/>
        <s v="20240404-7,5"/>
        <s v="20240405-7,5"/>
        <s v="20240406-12"/>
        <s v="20240407-13"/>
        <s v="20240408-12,5"/>
        <s v="20240409-11,5"/>
        <s v="20240410-13"/>
        <s v="20240411-11,5"/>
        <s v="20240412-11"/>
        <s v="20240413-13,5"/>
        <s v="20240414-11"/>
        <s v="20240415-12"/>
        <s v="20240416-14,2"/>
        <s v="20240417-11,1"/>
        <s v="20240418-11,7"/>
        <s v="20240419-12"/>
        <s v="20240420-11"/>
        <s v="20240421-11,1"/>
        <s v="20240422-11,5"/>
        <s v="20240423-11,4"/>
        <s v="20240424-10,5"/>
        <s v="20240425-10,8"/>
        <s v="20240426-11,5"/>
        <s v="20240427-11,5"/>
        <s v="20240428-11,9"/>
        <s v="20240429-11,5"/>
        <s v="20240430-12,8"/>
        <s v="20240501-12"/>
        <s v="20240502-8,1"/>
        <s v="20240503-11"/>
        <s v="20240504-14"/>
        <s v="20240505-9,4"/>
        <s v="20240506-9"/>
        <s v="20240507-11,3"/>
        <s v="20240508-10,5"/>
        <s v="20240509-11,5"/>
        <s v="20240510-11,4"/>
        <s v="20240511-12,1"/>
        <s v="20240512-11,3"/>
        <s v="20240513-13,5"/>
        <s v="20240514-11,9"/>
        <s v="20240515-11,4"/>
      </sharedItems>
    </cacheField>
    <cacheField name="comprimento total (cm)" numFmtId="0">
      <sharedItems containsSemiMixedTypes="0" containsString="0" containsNumber="1">
        <n v="16.0"/>
        <n v="15.8"/>
        <n v="16.8"/>
        <n v="12.8"/>
        <n v="12.0"/>
        <n v="11.5"/>
        <n v="11.4"/>
        <n v="11.9"/>
        <n v="10.5"/>
        <n v="10.9"/>
        <n v="10.6"/>
        <n v="7.5"/>
        <n v="13.3"/>
        <n v="10.2"/>
        <n v="13.4"/>
        <n v="16.5"/>
        <n v="17.0"/>
        <n v="15.5"/>
        <n v="11.3"/>
        <n v="13.5"/>
        <n v="9.5"/>
        <n v="8.5"/>
        <n v="13.0"/>
        <n v="12.5"/>
        <n v="11.0"/>
        <n v="14.2"/>
        <n v="11.1"/>
        <n v="11.7"/>
        <n v="10.8"/>
        <n v="8.1"/>
        <n v="14.0"/>
        <n v="9.4"/>
        <n v="9.0"/>
        <n v="12.1"/>
      </sharedItems>
    </cacheField>
    <cacheField name="peso (g)" numFmtId="0">
      <sharedItems containsString="0" containsBlank="1" containsNumber="1">
        <n v="46.0"/>
        <n v="49.0"/>
        <n v="56.0"/>
        <n v="47.0"/>
        <n v="25.0"/>
        <n v="17.0"/>
        <n v="13.0"/>
        <m/>
        <n v="65.5"/>
        <n v="71.7"/>
        <n v="72.1"/>
        <n v="52.5"/>
      </sharedItems>
    </cacheField>
    <cacheField name="comprimento (mm) dos otólitos" numFmtId="0">
      <sharedItems containsString="0" containsBlank="1" containsNumber="1">
        <m/>
        <n v="2.7"/>
        <n v="2.8"/>
        <n v="2.4"/>
        <n v="3.0"/>
        <n v="3.8"/>
        <n v="2.0"/>
      </sharedItems>
    </cacheField>
    <cacheField name="altura (mm) dos otólitos" numFmtId="0">
      <sharedItems containsString="0" containsBlank="1" containsNumber="1">
        <m/>
        <n v="2.0"/>
        <n v="1.9"/>
        <n v="2.1"/>
        <n v="2.2"/>
        <n v="2.9"/>
        <n v="2.5"/>
        <n v="1.5"/>
      </sharedItems>
    </cacheField>
    <cacheField name="largura (mm) dos otólitos" numFmtId="0">
      <sharedItems containsString="0" containsBlank="1" containsNumber="1">
        <m/>
        <n v="0.8"/>
        <n v="0.6"/>
        <n v="0.7"/>
        <n v="0.4"/>
        <n v="0.5"/>
        <n v="0.3"/>
      </sharedItems>
    </cacheField>
    <cacheField name="conteúdo estomacal" numFmtId="0">
      <sharedItems containsBlank="1">
        <m/>
        <s v="Poliqueta"/>
        <s v="Vazio"/>
        <s v="Ovo de invertebrado"/>
      </sharedItems>
    </cacheField>
    <cacheField name="data" numFmtId="164">
      <sharedItems containsSemiMixedTypes="0" containsDate="1" containsString="0"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4-02-25T00:00:00Z"/>
        <d v="2024-02-26T00:00:00Z"/>
        <d v="2024-02-27T00:00:00Z"/>
        <d v="2024-02-28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</sharedItems>
    </cacheField>
    <cacheField name="mes_coleta" numFmtId="14">
      <sharedItems>
        <s v="2023-10"/>
        <s v="2023-11"/>
        <s v="2024-02"/>
        <s v="2024-03"/>
        <s v="2024-04"/>
        <s v="2024-0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ise_de_sazonalidade" cacheId="0" dataCaption="" compact="0" compactData="0">
  <location ref="A1:B8" firstHeaderRow="0" firstDataRow="1" firstDataCol="0"/>
  <pivotFields>
    <pivotField name="id_exempla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comprimento total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eso (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mprimento (mm) dos otólit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ltura (mm) dos otólito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rgura (mm) dos otólit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eúdo estomacal" compact="0" outline="0" multipleItemSelectionAllowed="1" showAll="0">
      <items>
        <item x="0"/>
        <item x="1"/>
        <item x="2"/>
        <item x="3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ês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8"/>
  </rowFields>
  <dataFields>
    <dataField name="Nº de peixe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71"/>
    <col customWidth="1" min="9" max="9" width="8.71"/>
    <col customWidth="1" min="10" max="16" width="10.71"/>
    <col customWidth="1" min="17" max="17" width="8.71"/>
    <col customWidth="1" min="18" max="18" width="10.71"/>
    <col customWidth="1" min="19" max="19" width="8.71"/>
    <col customWidth="1" min="20" max="20" width="10.71"/>
    <col customWidth="1" min="21" max="22" width="8.71"/>
    <col customWidth="1" min="23" max="23" width="10.71"/>
    <col customWidth="1" min="24" max="36" width="8.71"/>
  </cols>
  <sheetData>
    <row r="2">
      <c r="A2" s="1" t="s">
        <v>0</v>
      </c>
      <c r="B2" s="1" t="s">
        <v>1</v>
      </c>
      <c r="D2" s="1" t="s">
        <v>2</v>
      </c>
      <c r="F2" s="1" t="s">
        <v>3</v>
      </c>
      <c r="H2" s="1" t="s">
        <v>4</v>
      </c>
      <c r="K2" s="1" t="s">
        <v>5</v>
      </c>
      <c r="N2" s="1" t="s">
        <v>6</v>
      </c>
      <c r="Q2" s="1" t="s">
        <v>7</v>
      </c>
      <c r="S2" s="1" t="s">
        <v>8</v>
      </c>
      <c r="U2" s="2" t="s">
        <v>9</v>
      </c>
      <c r="W2" s="1" t="s">
        <v>10</v>
      </c>
    </row>
    <row r="3">
      <c r="A3" s="2">
        <v>1.0</v>
      </c>
      <c r="B3" s="1">
        <v>16.0</v>
      </c>
      <c r="D3" s="3">
        <v>46.0</v>
      </c>
      <c r="F3" s="1" t="s">
        <v>11</v>
      </c>
      <c r="H3" s="1"/>
      <c r="K3" s="1"/>
      <c r="N3" s="1"/>
      <c r="Q3" s="1" t="s">
        <v>11</v>
      </c>
      <c r="S3" s="1"/>
      <c r="U3" s="1"/>
      <c r="W3" s="4">
        <v>45238.0</v>
      </c>
    </row>
    <row r="4">
      <c r="A4" s="2">
        <v>2.0</v>
      </c>
      <c r="B4" s="1">
        <v>15.8</v>
      </c>
      <c r="D4" s="2">
        <v>49.0</v>
      </c>
      <c r="F4" s="1" t="s">
        <v>11</v>
      </c>
      <c r="H4" s="1"/>
      <c r="K4" s="1"/>
      <c r="N4" s="1"/>
      <c r="Q4" s="1" t="s">
        <v>11</v>
      </c>
      <c r="S4" s="1"/>
      <c r="U4" s="1"/>
    </row>
    <row r="5">
      <c r="A5" s="2">
        <v>3.0</v>
      </c>
      <c r="B5" s="1">
        <v>16.8</v>
      </c>
      <c r="D5" s="2">
        <v>56.0</v>
      </c>
      <c r="F5" s="1" t="s">
        <v>11</v>
      </c>
      <c r="H5" s="1"/>
      <c r="K5" s="1"/>
      <c r="N5" s="1"/>
      <c r="Q5" s="1" t="s">
        <v>11</v>
      </c>
      <c r="S5" s="1"/>
      <c r="U5" s="1"/>
    </row>
    <row r="6">
      <c r="A6" s="2">
        <v>4.0</v>
      </c>
      <c r="B6" s="1">
        <v>16.0</v>
      </c>
      <c r="D6" s="2">
        <v>47.0</v>
      </c>
      <c r="F6" s="1" t="s">
        <v>11</v>
      </c>
      <c r="H6" s="1"/>
      <c r="K6" s="1"/>
      <c r="N6" s="1"/>
      <c r="Q6" s="1" t="s">
        <v>11</v>
      </c>
      <c r="S6" s="1"/>
      <c r="U6" s="1"/>
    </row>
    <row r="7">
      <c r="A7" s="2">
        <v>5.0</v>
      </c>
      <c r="B7" s="1">
        <v>12.8</v>
      </c>
      <c r="D7" s="2">
        <v>25.0</v>
      </c>
      <c r="F7" s="1" t="s">
        <v>11</v>
      </c>
      <c r="H7" s="1"/>
      <c r="K7" s="1"/>
      <c r="N7" s="1"/>
      <c r="Q7" s="1" t="s">
        <v>11</v>
      </c>
      <c r="S7" s="1"/>
      <c r="U7" s="1"/>
    </row>
    <row r="8">
      <c r="A8" s="2">
        <v>6.0</v>
      </c>
      <c r="B8" s="1">
        <v>12.0</v>
      </c>
      <c r="D8" s="2">
        <v>17.0</v>
      </c>
      <c r="F8" s="1" t="s">
        <v>12</v>
      </c>
      <c r="H8" s="1"/>
      <c r="K8" s="1"/>
      <c r="N8" s="1"/>
      <c r="Q8" s="1" t="s">
        <v>11</v>
      </c>
      <c r="S8" s="1"/>
      <c r="U8" s="1"/>
    </row>
    <row r="9">
      <c r="A9" s="2">
        <v>7.0</v>
      </c>
      <c r="B9" s="1">
        <v>11.5</v>
      </c>
      <c r="D9" s="2">
        <v>13.0</v>
      </c>
      <c r="F9" s="1" t="s">
        <v>11</v>
      </c>
      <c r="H9" s="1"/>
      <c r="K9" s="1"/>
      <c r="N9" s="1"/>
      <c r="Q9" s="1" t="s">
        <v>11</v>
      </c>
      <c r="S9" s="1"/>
      <c r="U9" s="1"/>
    </row>
    <row r="10">
      <c r="A10" s="2">
        <v>8.0</v>
      </c>
      <c r="B10" s="1">
        <v>11.4</v>
      </c>
      <c r="D10" s="2">
        <v>13.0</v>
      </c>
      <c r="F10" s="1" t="s">
        <v>11</v>
      </c>
      <c r="H10" s="1"/>
      <c r="K10" s="1"/>
      <c r="N10" s="1"/>
      <c r="Q10" s="1" t="s">
        <v>11</v>
      </c>
      <c r="S10" s="1"/>
      <c r="U10" s="1"/>
    </row>
    <row r="11">
      <c r="A11" s="1"/>
    </row>
    <row r="12">
      <c r="A12" s="2">
        <v>1.0</v>
      </c>
      <c r="B12" s="1">
        <v>11.9</v>
      </c>
      <c r="D12" s="1" t="s">
        <v>13</v>
      </c>
      <c r="F12" s="1" t="s">
        <v>11</v>
      </c>
      <c r="H12" s="1"/>
      <c r="K12" s="1"/>
      <c r="N12" s="1"/>
      <c r="Q12" s="1" t="s">
        <v>11</v>
      </c>
      <c r="S12" s="1" t="s">
        <v>14</v>
      </c>
      <c r="U12" s="2">
        <v>2.0</v>
      </c>
      <c r="W12" s="4">
        <v>45252.0</v>
      </c>
    </row>
    <row r="13">
      <c r="A13" s="1">
        <v>2.0</v>
      </c>
      <c r="B13" s="1">
        <v>10.5</v>
      </c>
      <c r="D13" s="1" t="s">
        <v>13</v>
      </c>
      <c r="F13" s="1" t="s">
        <v>11</v>
      </c>
      <c r="H13" s="1"/>
      <c r="K13" s="1"/>
      <c r="N13" s="1"/>
      <c r="Q13" s="1" t="s">
        <v>11</v>
      </c>
      <c r="S13" s="1" t="s">
        <v>15</v>
      </c>
      <c r="U13" s="2"/>
    </row>
    <row r="14">
      <c r="A14" s="1">
        <v>3.0</v>
      </c>
      <c r="B14" s="1">
        <v>12.0</v>
      </c>
      <c r="D14" s="1" t="s">
        <v>13</v>
      </c>
      <c r="F14" s="1" t="s">
        <v>12</v>
      </c>
      <c r="H14" s="1"/>
      <c r="K14" s="1"/>
      <c r="N14" s="1"/>
      <c r="Q14" s="1" t="s">
        <v>11</v>
      </c>
      <c r="S14" s="1" t="s">
        <v>15</v>
      </c>
      <c r="U14" s="2"/>
    </row>
    <row r="15">
      <c r="A15" s="1">
        <v>4.0</v>
      </c>
      <c r="B15" s="1">
        <v>10.9</v>
      </c>
      <c r="D15" s="1" t="s">
        <v>13</v>
      </c>
      <c r="F15" s="1" t="s">
        <v>12</v>
      </c>
      <c r="H15" s="1"/>
      <c r="K15" s="1"/>
      <c r="N15" s="1"/>
      <c r="Q15" s="1" t="s">
        <v>11</v>
      </c>
      <c r="S15" s="1" t="s">
        <v>15</v>
      </c>
      <c r="U15" s="2"/>
    </row>
    <row r="16">
      <c r="A16" s="1">
        <v>5.0</v>
      </c>
      <c r="B16" s="1">
        <v>10.6</v>
      </c>
      <c r="D16" s="1" t="s">
        <v>13</v>
      </c>
      <c r="F16" s="1" t="s">
        <v>11</v>
      </c>
      <c r="H16" s="1"/>
      <c r="K16" s="1"/>
      <c r="N16" s="1"/>
      <c r="Q16" s="1" t="s">
        <v>11</v>
      </c>
      <c r="S16" s="1" t="s">
        <v>14</v>
      </c>
      <c r="U16" s="2">
        <v>2.0</v>
      </c>
    </row>
    <row r="17">
      <c r="A17" s="1">
        <v>6.0</v>
      </c>
      <c r="B17" s="1">
        <v>10.9</v>
      </c>
      <c r="D17" s="1" t="s">
        <v>13</v>
      </c>
      <c r="F17" s="1" t="s">
        <v>11</v>
      </c>
      <c r="H17" s="1"/>
      <c r="K17" s="1"/>
      <c r="N17" s="1"/>
      <c r="Q17" s="1" t="s">
        <v>11</v>
      </c>
      <c r="S17" s="1" t="s">
        <v>15</v>
      </c>
      <c r="U17" s="2"/>
    </row>
    <row r="18">
      <c r="A18" s="1">
        <v>7.0</v>
      </c>
      <c r="B18" s="1">
        <v>7.5</v>
      </c>
      <c r="D18" s="1" t="s">
        <v>13</v>
      </c>
      <c r="F18" s="1" t="s">
        <v>11</v>
      </c>
      <c r="H18" s="1"/>
      <c r="K18" s="1"/>
      <c r="N18" s="1"/>
      <c r="Q18" s="1" t="s">
        <v>11</v>
      </c>
      <c r="S18" s="1" t="s">
        <v>15</v>
      </c>
      <c r="U18" s="2"/>
    </row>
    <row r="19">
      <c r="A19" s="1">
        <v>8.0</v>
      </c>
      <c r="B19" s="1">
        <v>13.3</v>
      </c>
      <c r="D19" s="2" t="s">
        <v>13</v>
      </c>
      <c r="F19" s="1" t="s">
        <v>12</v>
      </c>
      <c r="H19" s="1"/>
      <c r="K19" s="1"/>
      <c r="N19" s="1"/>
      <c r="Q19" s="1" t="s">
        <v>11</v>
      </c>
      <c r="S19" s="5" t="s">
        <v>16</v>
      </c>
      <c r="U19" s="2">
        <v>2.0</v>
      </c>
    </row>
    <row r="20">
      <c r="A20" s="1">
        <v>9.0</v>
      </c>
      <c r="B20" s="1">
        <v>12.0</v>
      </c>
      <c r="D20" s="1" t="s">
        <v>13</v>
      </c>
      <c r="F20" s="1" t="s">
        <v>11</v>
      </c>
      <c r="H20" s="1"/>
      <c r="K20" s="1"/>
      <c r="N20" s="1"/>
      <c r="Q20" s="1" t="s">
        <v>11</v>
      </c>
      <c r="S20" s="1" t="s">
        <v>14</v>
      </c>
      <c r="U20" s="2">
        <v>2.0</v>
      </c>
    </row>
    <row r="21" ht="15.75" customHeight="1">
      <c r="A21" s="1">
        <v>10.0</v>
      </c>
      <c r="B21" s="1">
        <v>10.5</v>
      </c>
      <c r="D21" s="1" t="s">
        <v>13</v>
      </c>
      <c r="F21" s="1" t="s">
        <v>11</v>
      </c>
      <c r="H21" s="1"/>
      <c r="K21" s="1"/>
      <c r="N21" s="1"/>
      <c r="Q21" s="1" t="s">
        <v>11</v>
      </c>
      <c r="S21" s="1" t="s">
        <v>15</v>
      </c>
      <c r="U21" s="1"/>
    </row>
    <row r="22" ht="15.75" customHeight="1">
      <c r="A22" s="1">
        <v>11.0</v>
      </c>
      <c r="B22" s="1">
        <v>11.5</v>
      </c>
      <c r="D22" s="1" t="s">
        <v>13</v>
      </c>
      <c r="F22" s="1" t="s">
        <v>11</v>
      </c>
      <c r="H22" s="1"/>
      <c r="K22" s="1"/>
      <c r="N22" s="1"/>
      <c r="Q22" s="1" t="s">
        <v>11</v>
      </c>
      <c r="S22" s="1" t="s">
        <v>15</v>
      </c>
      <c r="U22" s="1"/>
    </row>
    <row r="23" ht="15.75" customHeight="1">
      <c r="A23" s="1">
        <v>12.0</v>
      </c>
      <c r="B23" s="1">
        <v>10.5</v>
      </c>
      <c r="D23" s="2" t="s">
        <v>13</v>
      </c>
      <c r="F23" s="1" t="s">
        <v>11</v>
      </c>
      <c r="H23" s="1"/>
      <c r="K23" s="1"/>
      <c r="N23" s="1"/>
      <c r="Q23" s="1" t="s">
        <v>11</v>
      </c>
      <c r="S23" s="1" t="s">
        <v>14</v>
      </c>
      <c r="U23" s="2">
        <v>2.0</v>
      </c>
    </row>
    <row r="24" ht="15.75" customHeight="1">
      <c r="A24" s="1">
        <v>13.0</v>
      </c>
      <c r="B24" s="1">
        <v>10.2</v>
      </c>
      <c r="D24" s="1" t="s">
        <v>13</v>
      </c>
      <c r="F24" s="1" t="s">
        <v>11</v>
      </c>
      <c r="H24" s="1"/>
      <c r="K24" s="1"/>
      <c r="N24" s="1"/>
      <c r="Q24" s="1" t="s">
        <v>11</v>
      </c>
      <c r="S24" s="1" t="s">
        <v>15</v>
      </c>
      <c r="U24" s="1"/>
    </row>
    <row r="25" ht="15.75" customHeight="1">
      <c r="A25" s="1">
        <v>14.0</v>
      </c>
      <c r="B25" s="1">
        <v>11.5</v>
      </c>
      <c r="D25" s="1" t="s">
        <v>13</v>
      </c>
      <c r="F25" s="1" t="s">
        <v>11</v>
      </c>
      <c r="H25" s="1"/>
      <c r="K25" s="1"/>
      <c r="N25" s="1"/>
      <c r="Q25" s="1" t="s">
        <v>11</v>
      </c>
      <c r="S25" s="1" t="s">
        <v>14</v>
      </c>
      <c r="U25" s="2">
        <v>2.0</v>
      </c>
    </row>
    <row r="26" ht="15.75" customHeight="1">
      <c r="A26" s="1">
        <v>15.0</v>
      </c>
      <c r="B26" s="1">
        <v>13.4</v>
      </c>
      <c r="D26" s="2" t="s">
        <v>13</v>
      </c>
      <c r="F26" s="1" t="s">
        <v>11</v>
      </c>
      <c r="H26" s="1"/>
      <c r="K26" s="1"/>
      <c r="N26" s="1"/>
      <c r="Q26" s="1" t="s">
        <v>11</v>
      </c>
      <c r="S26" s="1" t="s">
        <v>14</v>
      </c>
      <c r="U26" s="2">
        <v>2.0</v>
      </c>
    </row>
    <row r="27" ht="15.75" customHeight="1">
      <c r="A27" s="1"/>
    </row>
    <row r="28" ht="15.75" customHeight="1">
      <c r="A28" s="1">
        <v>1.0</v>
      </c>
      <c r="B28" s="1">
        <v>16.5</v>
      </c>
      <c r="D28" s="1">
        <v>65.5</v>
      </c>
      <c r="F28" s="1" t="s">
        <v>11</v>
      </c>
      <c r="H28" s="1"/>
      <c r="K28" s="1"/>
      <c r="N28" s="1"/>
      <c r="Q28" s="1" t="s">
        <v>11</v>
      </c>
      <c r="S28" s="1"/>
      <c r="U28" s="1"/>
      <c r="W28" s="4">
        <v>45362.0</v>
      </c>
    </row>
    <row r="29" ht="15.75" customHeight="1">
      <c r="A29" s="1">
        <v>2.0</v>
      </c>
      <c r="B29" s="1">
        <v>17.0</v>
      </c>
      <c r="D29" s="1">
        <v>71.7</v>
      </c>
      <c r="F29" s="1" t="s">
        <v>11</v>
      </c>
      <c r="H29" s="1"/>
      <c r="K29" s="1"/>
      <c r="N29" s="1"/>
      <c r="Q29" s="1" t="s">
        <v>11</v>
      </c>
      <c r="S29" s="1"/>
      <c r="U29" s="1"/>
    </row>
    <row r="30" ht="15.75" customHeight="1">
      <c r="A30" s="1">
        <v>3.0</v>
      </c>
      <c r="B30" s="1">
        <v>17.0</v>
      </c>
      <c r="D30" s="1">
        <v>72.1</v>
      </c>
      <c r="F30" s="1" t="s">
        <v>11</v>
      </c>
      <c r="H30" s="1"/>
      <c r="K30" s="1"/>
      <c r="N30" s="1"/>
      <c r="Q30" s="1" t="s">
        <v>11</v>
      </c>
      <c r="S30" s="1"/>
      <c r="U30" s="1"/>
    </row>
    <row r="31" ht="15.75" customHeight="1">
      <c r="A31" s="1">
        <v>4.0</v>
      </c>
      <c r="B31" s="1">
        <v>15.5</v>
      </c>
      <c r="D31" s="1">
        <v>52.5</v>
      </c>
      <c r="F31" s="1" t="s">
        <v>11</v>
      </c>
      <c r="H31" s="1"/>
      <c r="K31" s="1"/>
      <c r="N31" s="1"/>
      <c r="Q31" s="1" t="s">
        <v>11</v>
      </c>
      <c r="S31" s="1"/>
      <c r="U31" s="1"/>
    </row>
    <row r="32" ht="15.75" customHeight="1">
      <c r="A32" s="1"/>
    </row>
    <row r="33" ht="15.75" customHeight="1">
      <c r="A33" s="1">
        <v>1.0</v>
      </c>
      <c r="B33" s="1">
        <v>11.5</v>
      </c>
      <c r="D33" s="1"/>
      <c r="F33" s="1" t="s">
        <v>11</v>
      </c>
      <c r="H33" s="1">
        <v>2.7</v>
      </c>
      <c r="K33" s="1">
        <v>2.0</v>
      </c>
      <c r="N33" s="1">
        <v>0.8</v>
      </c>
      <c r="Q33" s="1" t="s">
        <v>11</v>
      </c>
      <c r="S33" s="1"/>
      <c r="U33" s="1"/>
      <c r="W33" s="4">
        <v>45391.0</v>
      </c>
    </row>
    <row r="34" ht="15.75" customHeight="1">
      <c r="A34" s="1">
        <v>2.0</v>
      </c>
      <c r="B34" s="1">
        <v>11.4</v>
      </c>
      <c r="D34" s="1"/>
      <c r="F34" s="1" t="s">
        <v>11</v>
      </c>
      <c r="H34" s="1">
        <v>2.8</v>
      </c>
      <c r="K34" s="1">
        <v>1.9</v>
      </c>
      <c r="N34" s="1">
        <v>0.6</v>
      </c>
      <c r="Q34" s="1" t="s">
        <v>11</v>
      </c>
      <c r="S34" s="1"/>
      <c r="U34" s="1"/>
    </row>
    <row r="35" ht="15.75" customHeight="1">
      <c r="A35" s="1">
        <v>3.0</v>
      </c>
      <c r="B35" s="1">
        <v>11.3</v>
      </c>
      <c r="D35" s="2"/>
      <c r="F35" s="2" t="s">
        <v>11</v>
      </c>
      <c r="H35" s="1">
        <v>2.4</v>
      </c>
      <c r="K35" s="1">
        <v>2.0</v>
      </c>
      <c r="N35" s="1">
        <v>0.7</v>
      </c>
      <c r="Q35" s="1" t="s">
        <v>11</v>
      </c>
      <c r="S35" s="1"/>
      <c r="U35" s="1"/>
    </row>
    <row r="36" ht="15.75" customHeight="1">
      <c r="A36" s="1">
        <v>4.0</v>
      </c>
      <c r="B36" s="1">
        <v>12.0</v>
      </c>
      <c r="D36" s="2"/>
      <c r="F36" s="2" t="s">
        <v>11</v>
      </c>
      <c r="H36" s="1">
        <v>3.0</v>
      </c>
      <c r="K36" s="1">
        <v>2.1</v>
      </c>
      <c r="N36" s="1">
        <v>0.7</v>
      </c>
      <c r="Q36" s="1" t="s">
        <v>11</v>
      </c>
      <c r="S36" s="1"/>
      <c r="U36" s="1"/>
    </row>
    <row r="37" ht="15.75" customHeight="1">
      <c r="A37" s="1">
        <v>5.0</v>
      </c>
      <c r="B37" s="1">
        <v>13.5</v>
      </c>
      <c r="D37" s="2"/>
      <c r="F37" s="2" t="s">
        <v>11</v>
      </c>
      <c r="H37" s="1">
        <v>3.0</v>
      </c>
      <c r="K37" s="1">
        <v>2.2</v>
      </c>
      <c r="N37" s="1">
        <v>0.6</v>
      </c>
      <c r="Q37" s="1" t="s">
        <v>11</v>
      </c>
      <c r="S37" s="1"/>
      <c r="U37" s="1"/>
    </row>
    <row r="38" ht="15.75" customHeight="1">
      <c r="A38" s="1">
        <v>6.0</v>
      </c>
      <c r="B38" s="1">
        <v>11.3</v>
      </c>
      <c r="D38" s="2"/>
      <c r="F38" s="2" t="s">
        <v>11</v>
      </c>
      <c r="H38" s="1">
        <v>3.8</v>
      </c>
      <c r="K38" s="1">
        <v>2.9</v>
      </c>
      <c r="N38" s="1">
        <v>0.4</v>
      </c>
      <c r="Q38" s="1" t="s">
        <v>11</v>
      </c>
      <c r="S38" s="1"/>
      <c r="U38" s="1"/>
    </row>
    <row r="39" ht="15.75" customHeight="1">
      <c r="A39" s="1">
        <v>7.0</v>
      </c>
      <c r="B39" s="1">
        <v>9.5</v>
      </c>
      <c r="D39" s="2"/>
      <c r="F39" s="2" t="s">
        <v>11</v>
      </c>
      <c r="H39" s="1"/>
      <c r="K39" s="1"/>
      <c r="N39" s="1"/>
      <c r="Q39" s="1" t="s">
        <v>11</v>
      </c>
      <c r="S39" s="1"/>
      <c r="U39" s="1"/>
    </row>
    <row r="40" ht="15.75" customHeight="1">
      <c r="A40" s="1">
        <v>8.0</v>
      </c>
      <c r="B40" s="1">
        <v>13.5</v>
      </c>
      <c r="D40" s="1"/>
      <c r="F40" s="1" t="s">
        <v>11</v>
      </c>
      <c r="H40" s="1">
        <v>3.0</v>
      </c>
      <c r="K40" s="1">
        <v>2.5</v>
      </c>
      <c r="N40" s="1">
        <v>0.8</v>
      </c>
      <c r="Q40" s="1" t="s">
        <v>11</v>
      </c>
      <c r="S40" s="1"/>
      <c r="U40" s="1"/>
    </row>
    <row r="41" ht="15.75" customHeight="1">
      <c r="A41" s="1">
        <v>9.0</v>
      </c>
      <c r="B41" s="1">
        <v>12.0</v>
      </c>
      <c r="D41" s="1"/>
      <c r="F41" s="1" t="s">
        <v>11</v>
      </c>
      <c r="H41" s="1">
        <v>2.8</v>
      </c>
      <c r="K41" s="1">
        <v>2.0</v>
      </c>
      <c r="N41" s="1">
        <v>0.5</v>
      </c>
      <c r="Q41" s="1" t="s">
        <v>11</v>
      </c>
      <c r="S41" s="1"/>
      <c r="U41" s="1"/>
    </row>
    <row r="42" ht="15.75" customHeight="1">
      <c r="A42" s="1">
        <v>10.0</v>
      </c>
      <c r="B42" s="1">
        <v>8.5</v>
      </c>
      <c r="D42" s="2"/>
      <c r="F42" s="2" t="s">
        <v>11</v>
      </c>
      <c r="H42" s="1">
        <v>2.0</v>
      </c>
      <c r="K42" s="1">
        <v>1.9</v>
      </c>
      <c r="N42" s="1">
        <v>0.3</v>
      </c>
      <c r="Q42" s="1" t="s">
        <v>11</v>
      </c>
      <c r="S42" s="1"/>
      <c r="U42" s="1"/>
    </row>
    <row r="43" ht="15.75" customHeight="1">
      <c r="A43" s="1">
        <v>11.0</v>
      </c>
      <c r="B43" s="1">
        <v>7.5</v>
      </c>
      <c r="D43" s="2"/>
      <c r="F43" s="2" t="s">
        <v>11</v>
      </c>
      <c r="H43" s="1">
        <v>2.0</v>
      </c>
      <c r="K43" s="1">
        <v>1.5</v>
      </c>
      <c r="N43" s="1">
        <v>0.3</v>
      </c>
      <c r="Q43" s="1" t="s">
        <v>11</v>
      </c>
      <c r="S43" s="1"/>
      <c r="U43" s="1"/>
    </row>
    <row r="44" ht="15.75" customHeight="1">
      <c r="A44" s="1">
        <v>12.0</v>
      </c>
      <c r="B44" s="1">
        <v>7.5</v>
      </c>
      <c r="D44" s="2"/>
      <c r="F44" s="1" t="s">
        <v>12</v>
      </c>
      <c r="H44" s="1"/>
      <c r="K44" s="1"/>
      <c r="N44" s="1"/>
      <c r="Q44" s="1" t="s">
        <v>12</v>
      </c>
      <c r="S44" s="1"/>
      <c r="U44" s="1"/>
    </row>
    <row r="45" ht="15.75" customHeight="1">
      <c r="A45" s="1">
        <v>13.0</v>
      </c>
      <c r="B45" s="1">
        <v>12.0</v>
      </c>
      <c r="D45" s="2"/>
      <c r="F45" s="1" t="s">
        <v>12</v>
      </c>
      <c r="H45" s="1"/>
      <c r="K45" s="1"/>
      <c r="N45" s="1"/>
      <c r="Q45" s="1" t="s">
        <v>12</v>
      </c>
      <c r="S45" s="1"/>
      <c r="U45" s="1"/>
    </row>
    <row r="46" ht="15.75" customHeight="1">
      <c r="A46" s="1">
        <v>14.0</v>
      </c>
      <c r="B46" s="1">
        <v>13.0</v>
      </c>
      <c r="D46" s="2"/>
      <c r="F46" s="1" t="s">
        <v>12</v>
      </c>
      <c r="H46" s="1"/>
      <c r="K46" s="1"/>
      <c r="N46" s="1"/>
      <c r="Q46" s="1" t="s">
        <v>12</v>
      </c>
      <c r="S46" s="1"/>
      <c r="U46" s="1"/>
    </row>
    <row r="47" ht="15.75" customHeight="1">
      <c r="A47" s="1">
        <v>15.0</v>
      </c>
      <c r="B47" s="1">
        <v>12.5</v>
      </c>
      <c r="D47" s="4"/>
      <c r="F47" s="1" t="s">
        <v>12</v>
      </c>
      <c r="H47" s="1"/>
      <c r="K47" s="1"/>
      <c r="N47" s="1"/>
      <c r="Q47" s="1" t="s">
        <v>12</v>
      </c>
      <c r="S47" s="1"/>
      <c r="U47" s="1"/>
    </row>
    <row r="48" ht="15.75" customHeight="1">
      <c r="A48" s="1">
        <v>16.0</v>
      </c>
      <c r="B48" s="1">
        <v>11.5</v>
      </c>
      <c r="D48" s="1"/>
      <c r="F48" s="1" t="s">
        <v>12</v>
      </c>
      <c r="H48" s="1"/>
      <c r="K48" s="1"/>
      <c r="N48" s="1"/>
      <c r="Q48" s="1" t="s">
        <v>12</v>
      </c>
      <c r="S48" s="1"/>
      <c r="U48" s="1"/>
    </row>
    <row r="49" ht="15.75" customHeight="1">
      <c r="A49" s="1">
        <v>17.0</v>
      </c>
      <c r="B49" s="1">
        <v>13.0</v>
      </c>
      <c r="D49" s="1"/>
      <c r="F49" s="1" t="s">
        <v>12</v>
      </c>
      <c r="H49" s="1"/>
      <c r="K49" s="1"/>
      <c r="N49" s="1"/>
      <c r="Q49" s="1" t="s">
        <v>12</v>
      </c>
      <c r="S49" s="1"/>
      <c r="U49" s="1"/>
    </row>
    <row r="50" ht="15.75" customHeight="1">
      <c r="A50" s="1">
        <v>18.0</v>
      </c>
      <c r="B50" s="1">
        <v>11.5</v>
      </c>
      <c r="D50" s="2"/>
      <c r="F50" s="1" t="s">
        <v>12</v>
      </c>
      <c r="H50" s="1"/>
      <c r="K50" s="1"/>
      <c r="N50" s="1"/>
      <c r="Q50" s="1" t="s">
        <v>12</v>
      </c>
      <c r="S50" s="1"/>
      <c r="U50" s="1"/>
    </row>
    <row r="51" ht="15.75" customHeight="1">
      <c r="A51" s="1">
        <v>19.0</v>
      </c>
      <c r="B51" s="1">
        <v>11.0</v>
      </c>
      <c r="D51" s="2"/>
      <c r="F51" s="1" t="s">
        <v>12</v>
      </c>
      <c r="H51" s="1"/>
      <c r="K51" s="1"/>
      <c r="N51" s="1"/>
      <c r="Q51" s="1" t="s">
        <v>12</v>
      </c>
      <c r="S51" s="1"/>
      <c r="U51" s="1"/>
    </row>
    <row r="52" ht="15.75" customHeight="1">
      <c r="A52" s="1">
        <v>20.0</v>
      </c>
      <c r="B52" s="1">
        <v>13.5</v>
      </c>
      <c r="D52" s="2"/>
      <c r="F52" s="1" t="s">
        <v>12</v>
      </c>
      <c r="H52" s="1"/>
      <c r="K52" s="1"/>
      <c r="N52" s="1"/>
      <c r="Q52" s="1" t="s">
        <v>12</v>
      </c>
      <c r="S52" s="1"/>
      <c r="U52" s="1"/>
    </row>
    <row r="53" ht="15.75" customHeight="1">
      <c r="A53" s="1">
        <v>21.0</v>
      </c>
      <c r="B53" s="1">
        <v>11.0</v>
      </c>
      <c r="D53" s="2"/>
      <c r="F53" s="1" t="s">
        <v>12</v>
      </c>
      <c r="H53" s="1"/>
      <c r="K53" s="1"/>
      <c r="N53" s="1"/>
      <c r="Q53" s="1" t="s">
        <v>12</v>
      </c>
      <c r="S53" s="1"/>
      <c r="U53" s="1"/>
    </row>
    <row r="54" ht="15.75" customHeight="1">
      <c r="A54" s="1">
        <v>22.0</v>
      </c>
      <c r="B54" s="1">
        <v>12.0</v>
      </c>
      <c r="D54" s="2"/>
      <c r="F54" s="1" t="s">
        <v>12</v>
      </c>
      <c r="H54" s="1"/>
      <c r="K54" s="1"/>
      <c r="N54" s="1"/>
      <c r="Q54" s="1" t="s">
        <v>12</v>
      </c>
      <c r="S54" s="1"/>
      <c r="U54" s="1"/>
    </row>
    <row r="55" ht="15.75" customHeight="1">
      <c r="A55" s="1">
        <v>23.0</v>
      </c>
      <c r="B55" s="1">
        <v>14.2</v>
      </c>
      <c r="D55" s="1"/>
      <c r="F55" s="1" t="s">
        <v>12</v>
      </c>
      <c r="H55" s="1"/>
      <c r="K55" s="1"/>
      <c r="N55" s="1"/>
      <c r="Q55" s="1" t="s">
        <v>12</v>
      </c>
      <c r="S55" s="1"/>
      <c r="U55" s="1"/>
    </row>
    <row r="56" ht="15.75" customHeight="1">
      <c r="A56" s="1">
        <v>24.0</v>
      </c>
      <c r="B56" s="1">
        <v>11.1</v>
      </c>
      <c r="D56" s="1"/>
      <c r="F56" s="1" t="s">
        <v>12</v>
      </c>
      <c r="H56" s="1"/>
      <c r="K56" s="1"/>
      <c r="N56" s="1"/>
      <c r="Q56" s="1" t="s">
        <v>12</v>
      </c>
      <c r="S56" s="1"/>
      <c r="U56" s="1"/>
    </row>
    <row r="57" ht="15.75" customHeight="1">
      <c r="A57" s="1">
        <v>25.0</v>
      </c>
      <c r="B57" s="1">
        <v>11.7</v>
      </c>
      <c r="D57" s="2"/>
      <c r="F57" s="1" t="s">
        <v>12</v>
      </c>
      <c r="H57" s="1"/>
      <c r="K57" s="1"/>
      <c r="N57" s="1"/>
      <c r="Q57" s="1" t="s">
        <v>12</v>
      </c>
      <c r="S57" s="1"/>
      <c r="U57" s="1"/>
    </row>
    <row r="58" ht="15.75" customHeight="1">
      <c r="A58" s="1">
        <v>26.0</v>
      </c>
      <c r="B58" s="1">
        <v>12.0</v>
      </c>
      <c r="D58" s="2"/>
      <c r="F58" s="1" t="s">
        <v>12</v>
      </c>
      <c r="H58" s="1"/>
      <c r="K58" s="1"/>
      <c r="N58" s="1"/>
      <c r="Q58" s="1" t="s">
        <v>12</v>
      </c>
      <c r="S58" s="1"/>
      <c r="U58" s="1"/>
    </row>
    <row r="59" ht="15.75" customHeight="1">
      <c r="A59" s="1">
        <v>27.0</v>
      </c>
      <c r="B59" s="1">
        <v>11.0</v>
      </c>
      <c r="D59" s="2"/>
      <c r="F59" s="1" t="s">
        <v>12</v>
      </c>
      <c r="H59" s="1"/>
      <c r="K59" s="1"/>
      <c r="N59" s="1"/>
      <c r="Q59" s="1" t="s">
        <v>12</v>
      </c>
      <c r="S59" s="1"/>
      <c r="U59" s="1"/>
    </row>
    <row r="60" ht="15.75" customHeight="1">
      <c r="A60" s="1">
        <v>28.0</v>
      </c>
      <c r="B60" s="1">
        <v>11.1</v>
      </c>
      <c r="D60" s="2"/>
      <c r="F60" s="1" t="s">
        <v>12</v>
      </c>
      <c r="H60" s="1"/>
      <c r="K60" s="1"/>
      <c r="N60" s="1"/>
      <c r="Q60" s="1" t="s">
        <v>12</v>
      </c>
      <c r="S60" s="1"/>
      <c r="U60" s="1"/>
    </row>
    <row r="61" ht="15.75" customHeight="1">
      <c r="A61" s="1">
        <v>29.0</v>
      </c>
      <c r="B61" s="1">
        <v>11.5</v>
      </c>
      <c r="D61" s="2"/>
      <c r="F61" s="1" t="s">
        <v>12</v>
      </c>
      <c r="H61" s="1"/>
      <c r="K61" s="1"/>
      <c r="N61" s="1"/>
      <c r="Q61" s="1" t="s">
        <v>12</v>
      </c>
      <c r="S61" s="1"/>
      <c r="U61" s="1"/>
    </row>
    <row r="62" ht="15.75" customHeight="1">
      <c r="A62" s="1">
        <v>30.0</v>
      </c>
      <c r="B62" s="1">
        <v>11.4</v>
      </c>
      <c r="D62" s="4"/>
      <c r="F62" s="1" t="s">
        <v>12</v>
      </c>
      <c r="H62" s="1"/>
      <c r="K62" s="1"/>
      <c r="N62" s="1"/>
      <c r="Q62" s="1" t="s">
        <v>12</v>
      </c>
      <c r="S62" s="1"/>
      <c r="U62" s="1"/>
    </row>
    <row r="63" ht="15.75" customHeight="1">
      <c r="A63" s="1">
        <v>31.0</v>
      </c>
      <c r="B63" s="1">
        <v>10.5</v>
      </c>
      <c r="D63" s="1"/>
      <c r="F63" s="1" t="s">
        <v>12</v>
      </c>
      <c r="H63" s="1"/>
      <c r="K63" s="1"/>
      <c r="N63" s="1"/>
      <c r="Q63" s="1" t="s">
        <v>12</v>
      </c>
      <c r="S63" s="1"/>
      <c r="U63" s="1"/>
    </row>
    <row r="64" ht="15.75" customHeight="1">
      <c r="A64" s="1">
        <v>32.0</v>
      </c>
      <c r="B64" s="1">
        <v>10.8</v>
      </c>
      <c r="D64" s="1"/>
      <c r="F64" s="1" t="s">
        <v>12</v>
      </c>
      <c r="H64" s="1"/>
      <c r="K64" s="1"/>
      <c r="N64" s="1"/>
      <c r="Q64" s="1" t="s">
        <v>12</v>
      </c>
      <c r="S64" s="1"/>
      <c r="U64" s="1"/>
    </row>
    <row r="65" ht="15.75" customHeight="1">
      <c r="A65" s="1">
        <v>33.0</v>
      </c>
      <c r="B65" s="1">
        <v>11.5</v>
      </c>
      <c r="D65" s="2"/>
      <c r="F65" s="1" t="s">
        <v>12</v>
      </c>
      <c r="H65" s="1"/>
      <c r="K65" s="1"/>
      <c r="N65" s="1"/>
      <c r="Q65" s="1" t="s">
        <v>12</v>
      </c>
      <c r="S65" s="1"/>
      <c r="U65" s="1"/>
    </row>
    <row r="66" ht="15.75" customHeight="1">
      <c r="A66" s="1">
        <v>34.0</v>
      </c>
      <c r="B66" s="1">
        <v>11.5</v>
      </c>
      <c r="D66" s="2"/>
      <c r="F66" s="1" t="s">
        <v>12</v>
      </c>
      <c r="H66" s="1"/>
      <c r="K66" s="1"/>
      <c r="N66" s="1"/>
      <c r="Q66" s="1" t="s">
        <v>12</v>
      </c>
      <c r="S66" s="1"/>
      <c r="U66" s="1"/>
    </row>
    <row r="67" ht="15.75" customHeight="1">
      <c r="A67" s="1">
        <v>35.0</v>
      </c>
      <c r="B67" s="1">
        <v>11.9</v>
      </c>
      <c r="D67" s="2"/>
      <c r="F67" s="1" t="s">
        <v>12</v>
      </c>
      <c r="H67" s="1"/>
      <c r="K67" s="1"/>
      <c r="N67" s="1"/>
      <c r="Q67" s="1" t="s">
        <v>12</v>
      </c>
      <c r="S67" s="1"/>
      <c r="U67" s="1"/>
    </row>
    <row r="68" ht="15.75" customHeight="1">
      <c r="A68" s="1">
        <v>36.0</v>
      </c>
      <c r="B68" s="1">
        <v>11.5</v>
      </c>
      <c r="D68" s="2"/>
      <c r="F68" s="1" t="s">
        <v>12</v>
      </c>
      <c r="H68" s="1"/>
      <c r="K68" s="1"/>
      <c r="N68" s="1"/>
      <c r="Q68" s="1" t="s">
        <v>12</v>
      </c>
      <c r="S68" s="1"/>
      <c r="U68" s="1"/>
    </row>
    <row r="69" ht="15.75" customHeight="1">
      <c r="A69" s="1">
        <v>37.0</v>
      </c>
      <c r="B69" s="1">
        <v>12.8</v>
      </c>
      <c r="D69" s="2"/>
      <c r="F69" s="1" t="s">
        <v>12</v>
      </c>
      <c r="H69" s="1"/>
      <c r="K69" s="1"/>
      <c r="N69" s="1"/>
      <c r="Q69" s="1" t="s">
        <v>12</v>
      </c>
      <c r="S69" s="1"/>
      <c r="U69" s="1"/>
    </row>
    <row r="70" ht="15.75" customHeight="1">
      <c r="A70" s="1">
        <v>38.0</v>
      </c>
      <c r="B70" s="1">
        <v>12.0</v>
      </c>
      <c r="D70" s="1"/>
      <c r="F70" s="1" t="s">
        <v>12</v>
      </c>
      <c r="H70" s="1"/>
      <c r="K70" s="1"/>
      <c r="N70" s="1"/>
      <c r="Q70" s="1" t="s">
        <v>12</v>
      </c>
      <c r="S70" s="1"/>
      <c r="U70" s="1"/>
    </row>
    <row r="71" ht="15.75" customHeight="1">
      <c r="A71" s="1">
        <v>39.0</v>
      </c>
      <c r="B71" s="1">
        <v>8.1</v>
      </c>
      <c r="D71" s="1"/>
      <c r="F71" s="1" t="s">
        <v>12</v>
      </c>
      <c r="H71" s="1"/>
      <c r="K71" s="1"/>
      <c r="N71" s="1"/>
      <c r="Q71" s="1" t="s">
        <v>12</v>
      </c>
      <c r="S71" s="1"/>
      <c r="U71" s="1"/>
    </row>
    <row r="72" ht="15.75" customHeight="1">
      <c r="A72" s="1">
        <v>40.0</v>
      </c>
      <c r="B72" s="1">
        <v>11.0</v>
      </c>
      <c r="D72" s="2"/>
      <c r="F72" s="1" t="s">
        <v>12</v>
      </c>
      <c r="H72" s="1"/>
      <c r="K72" s="1"/>
      <c r="N72" s="1"/>
      <c r="Q72" s="1" t="s">
        <v>12</v>
      </c>
      <c r="S72" s="1"/>
      <c r="U72" s="1"/>
    </row>
    <row r="73" ht="15.75" customHeight="1">
      <c r="A73" s="1">
        <v>41.0</v>
      </c>
      <c r="B73" s="1">
        <v>14.0</v>
      </c>
      <c r="D73" s="2"/>
      <c r="F73" s="1" t="s">
        <v>12</v>
      </c>
      <c r="H73" s="1"/>
      <c r="K73" s="1"/>
      <c r="N73" s="1"/>
      <c r="Q73" s="1" t="s">
        <v>12</v>
      </c>
      <c r="S73" s="1"/>
      <c r="U73" s="1"/>
    </row>
    <row r="74" ht="15.75" customHeight="1">
      <c r="A74" s="1">
        <v>42.0</v>
      </c>
      <c r="B74" s="1">
        <v>9.4</v>
      </c>
      <c r="D74" s="2"/>
      <c r="F74" s="1" t="s">
        <v>12</v>
      </c>
      <c r="H74" s="1"/>
      <c r="K74" s="1"/>
      <c r="N74" s="1"/>
      <c r="Q74" s="1" t="s">
        <v>12</v>
      </c>
      <c r="S74" s="1"/>
      <c r="U74" s="1"/>
    </row>
    <row r="75" ht="15.75" customHeight="1">
      <c r="A75" s="1">
        <v>43.0</v>
      </c>
      <c r="B75" s="1">
        <v>9.0</v>
      </c>
      <c r="D75" s="2"/>
      <c r="F75" s="1" t="s">
        <v>12</v>
      </c>
      <c r="H75" s="1"/>
      <c r="K75" s="1"/>
      <c r="N75" s="1"/>
      <c r="Q75" s="1" t="s">
        <v>12</v>
      </c>
      <c r="S75" s="1"/>
      <c r="U75" s="1"/>
    </row>
    <row r="76" ht="15.75" customHeight="1">
      <c r="A76" s="1">
        <v>44.0</v>
      </c>
      <c r="B76" s="1">
        <v>11.3</v>
      </c>
      <c r="D76" s="2"/>
      <c r="F76" s="1" t="s">
        <v>12</v>
      </c>
      <c r="H76" s="1"/>
      <c r="K76" s="1"/>
      <c r="N76" s="1"/>
      <c r="Q76" s="1" t="s">
        <v>12</v>
      </c>
      <c r="S76" s="1"/>
      <c r="U76" s="1"/>
    </row>
    <row r="77" ht="15.75" customHeight="1">
      <c r="A77" s="1">
        <v>45.0</v>
      </c>
      <c r="B77" s="1">
        <v>10.5</v>
      </c>
      <c r="D77" s="4"/>
      <c r="F77" s="1" t="s">
        <v>12</v>
      </c>
      <c r="H77" s="1"/>
      <c r="K77" s="1"/>
      <c r="N77" s="1"/>
      <c r="Q77" s="1" t="s">
        <v>12</v>
      </c>
      <c r="S77" s="1"/>
      <c r="U77" s="1"/>
    </row>
    <row r="78" ht="15.75" customHeight="1">
      <c r="A78" s="1">
        <v>46.0</v>
      </c>
      <c r="B78" s="1">
        <v>11.5</v>
      </c>
      <c r="D78" s="1"/>
      <c r="F78" s="1" t="s">
        <v>12</v>
      </c>
      <c r="H78" s="1"/>
      <c r="K78" s="1"/>
      <c r="N78" s="1"/>
      <c r="Q78" s="1" t="s">
        <v>12</v>
      </c>
      <c r="S78" s="1"/>
      <c r="U78" s="1"/>
    </row>
    <row r="79" ht="15.75" customHeight="1">
      <c r="A79" s="1">
        <v>47.0</v>
      </c>
      <c r="B79" s="1">
        <v>11.4</v>
      </c>
      <c r="D79" s="1"/>
      <c r="F79" s="1" t="s">
        <v>12</v>
      </c>
      <c r="H79" s="1"/>
      <c r="K79" s="1"/>
      <c r="N79" s="1"/>
      <c r="Q79" s="1" t="s">
        <v>12</v>
      </c>
      <c r="S79" s="1"/>
      <c r="U79" s="1"/>
    </row>
    <row r="80" ht="15.75" customHeight="1">
      <c r="A80" s="1">
        <v>48.0</v>
      </c>
      <c r="B80" s="1">
        <v>12.1</v>
      </c>
      <c r="D80" s="2"/>
      <c r="F80" s="1" t="s">
        <v>12</v>
      </c>
      <c r="H80" s="1"/>
      <c r="K80" s="1"/>
      <c r="N80" s="1"/>
      <c r="Q80" s="1" t="s">
        <v>12</v>
      </c>
      <c r="S80" s="1"/>
      <c r="U80" s="1"/>
    </row>
    <row r="81" ht="15.75" customHeight="1">
      <c r="A81" s="1">
        <v>49.0</v>
      </c>
      <c r="B81" s="1">
        <v>11.3</v>
      </c>
      <c r="D81" s="2"/>
      <c r="F81" s="1" t="s">
        <v>12</v>
      </c>
      <c r="H81" s="1"/>
      <c r="K81" s="1"/>
      <c r="N81" s="1"/>
      <c r="Q81" s="1" t="s">
        <v>12</v>
      </c>
      <c r="S81" s="1"/>
      <c r="U81" s="1"/>
    </row>
    <row r="82" ht="15.75" customHeight="1">
      <c r="A82" s="1">
        <v>50.0</v>
      </c>
      <c r="B82" s="1">
        <v>13.5</v>
      </c>
      <c r="D82" s="2"/>
      <c r="F82" s="1" t="s">
        <v>12</v>
      </c>
      <c r="H82" s="1"/>
      <c r="K82" s="1"/>
      <c r="N82" s="1"/>
      <c r="Q82" s="1" t="s">
        <v>12</v>
      </c>
      <c r="S82" s="1"/>
      <c r="U82" s="1"/>
    </row>
    <row r="83" ht="15.75" customHeight="1">
      <c r="A83" s="1">
        <v>51.0</v>
      </c>
      <c r="B83" s="1">
        <v>11.9</v>
      </c>
      <c r="D83" s="2"/>
      <c r="F83" s="1" t="s">
        <v>12</v>
      </c>
      <c r="H83" s="1"/>
      <c r="K83" s="1"/>
      <c r="N83" s="1"/>
      <c r="Q83" s="1" t="s">
        <v>12</v>
      </c>
      <c r="S83" s="1"/>
      <c r="U83" s="1"/>
    </row>
    <row r="84" ht="15.75" customHeight="1">
      <c r="A84" s="1">
        <v>52.0</v>
      </c>
      <c r="B84" s="1">
        <v>11.4</v>
      </c>
      <c r="D84" s="2"/>
      <c r="F84" s="1" t="s">
        <v>12</v>
      </c>
      <c r="H84" s="1"/>
      <c r="K84" s="1"/>
      <c r="N84" s="1"/>
      <c r="Q84" s="1" t="s">
        <v>12</v>
      </c>
      <c r="S84" s="1"/>
      <c r="U84" s="1"/>
    </row>
    <row r="85" ht="15.75" customHeight="1">
      <c r="C85" s="5"/>
      <c r="D85" s="5"/>
      <c r="E85" s="5"/>
      <c r="F85" s="5"/>
      <c r="G85" s="5"/>
      <c r="I85" s="1"/>
    </row>
    <row r="86" ht="15.75" customHeight="1">
      <c r="C86" s="5"/>
      <c r="D86" s="5"/>
      <c r="E86" s="5"/>
      <c r="F86" s="5"/>
      <c r="G86" s="5"/>
      <c r="I86" s="1"/>
    </row>
    <row r="87" ht="15.75" customHeight="1">
      <c r="C87" s="5"/>
      <c r="D87" s="5"/>
      <c r="E87" s="5"/>
      <c r="F87" s="5"/>
      <c r="G87" s="5"/>
    </row>
    <row r="88" ht="15.75" customHeight="1">
      <c r="C88" s="5"/>
      <c r="D88" s="5"/>
      <c r="E88" s="5"/>
      <c r="F88" s="5"/>
      <c r="G88" s="5"/>
    </row>
    <row r="89" ht="15.75" customHeight="1">
      <c r="C89" s="5"/>
      <c r="D89" s="5"/>
      <c r="E89" s="5"/>
      <c r="F89" s="5"/>
    </row>
    <row r="90" ht="15.75" customHeight="1">
      <c r="C90" s="5"/>
      <c r="D90" s="5"/>
      <c r="E90" s="5"/>
      <c r="F90" s="5"/>
    </row>
    <row r="91" ht="15.75" customHeight="1">
      <c r="C91" s="5"/>
      <c r="D91" s="5"/>
      <c r="E91" s="5"/>
      <c r="F91" s="5"/>
    </row>
    <row r="92" ht="15.75" customHeight="1">
      <c r="C92" s="5"/>
      <c r="D92" s="5"/>
      <c r="E92" s="5"/>
      <c r="F92" s="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8">
    <mergeCell ref="D78:E78"/>
    <mergeCell ref="F78:G78"/>
    <mergeCell ref="D79:E79"/>
    <mergeCell ref="F79:G79"/>
    <mergeCell ref="H79:J79"/>
    <mergeCell ref="K79:M79"/>
    <mergeCell ref="N79:P79"/>
    <mergeCell ref="B79:C79"/>
    <mergeCell ref="B80:C80"/>
    <mergeCell ref="D80:E80"/>
    <mergeCell ref="F80:G80"/>
    <mergeCell ref="H80:J80"/>
    <mergeCell ref="K80:M80"/>
    <mergeCell ref="N80:P80"/>
    <mergeCell ref="H48:J48"/>
    <mergeCell ref="K48:M48"/>
    <mergeCell ref="H49:J49"/>
    <mergeCell ref="K49:M49"/>
    <mergeCell ref="N49:P49"/>
    <mergeCell ref="H50:J50"/>
    <mergeCell ref="K50:M50"/>
    <mergeCell ref="N50:P50"/>
    <mergeCell ref="B47:C47"/>
    <mergeCell ref="D47:E47"/>
    <mergeCell ref="F47:G47"/>
    <mergeCell ref="H47:J47"/>
    <mergeCell ref="K47:M47"/>
    <mergeCell ref="N47:P47"/>
    <mergeCell ref="B48:C48"/>
    <mergeCell ref="N48:P48"/>
    <mergeCell ref="B50:C50"/>
    <mergeCell ref="B51:C51"/>
    <mergeCell ref="D51:E51"/>
    <mergeCell ref="F51:G51"/>
    <mergeCell ref="H51:J51"/>
    <mergeCell ref="K51:M51"/>
    <mergeCell ref="N51:P51"/>
    <mergeCell ref="D48:E48"/>
    <mergeCell ref="F48:G48"/>
    <mergeCell ref="B49:C49"/>
    <mergeCell ref="D49:E49"/>
    <mergeCell ref="F49:G49"/>
    <mergeCell ref="D50:E50"/>
    <mergeCell ref="F50:G50"/>
    <mergeCell ref="B52:C52"/>
    <mergeCell ref="D52:E52"/>
    <mergeCell ref="F52:G52"/>
    <mergeCell ref="H52:J52"/>
    <mergeCell ref="K52:M52"/>
    <mergeCell ref="N52:P52"/>
    <mergeCell ref="B53:C53"/>
    <mergeCell ref="N53:P53"/>
    <mergeCell ref="B55:C55"/>
    <mergeCell ref="B56:C56"/>
    <mergeCell ref="D56:E56"/>
    <mergeCell ref="F56:G56"/>
    <mergeCell ref="H56:J56"/>
    <mergeCell ref="K56:M56"/>
    <mergeCell ref="N56:P56"/>
    <mergeCell ref="D82:E82"/>
    <mergeCell ref="F82:G82"/>
    <mergeCell ref="N82:P82"/>
    <mergeCell ref="D66:E66"/>
    <mergeCell ref="F66:G66"/>
    <mergeCell ref="D67:E67"/>
    <mergeCell ref="F67:G67"/>
    <mergeCell ref="H67:J67"/>
    <mergeCell ref="K67:M67"/>
    <mergeCell ref="N67:P67"/>
    <mergeCell ref="B67:C67"/>
    <mergeCell ref="B68:C68"/>
    <mergeCell ref="D68:E68"/>
    <mergeCell ref="F68:G68"/>
    <mergeCell ref="H68:J68"/>
    <mergeCell ref="K68:M68"/>
    <mergeCell ref="N68:P68"/>
    <mergeCell ref="H70:J70"/>
    <mergeCell ref="K70:M70"/>
    <mergeCell ref="B69:C69"/>
    <mergeCell ref="D69:E69"/>
    <mergeCell ref="F69:G69"/>
    <mergeCell ref="H69:J69"/>
    <mergeCell ref="K69:M69"/>
    <mergeCell ref="N69:P69"/>
    <mergeCell ref="B70:C70"/>
    <mergeCell ref="N70:P70"/>
    <mergeCell ref="D70:E70"/>
    <mergeCell ref="F70:G70"/>
    <mergeCell ref="D71:E71"/>
    <mergeCell ref="F71:G71"/>
    <mergeCell ref="H71:J71"/>
    <mergeCell ref="K71:M71"/>
    <mergeCell ref="N71:P71"/>
    <mergeCell ref="B71:C71"/>
    <mergeCell ref="B72:C72"/>
    <mergeCell ref="D72:E72"/>
    <mergeCell ref="F72:G72"/>
    <mergeCell ref="H72:J72"/>
    <mergeCell ref="K72:M72"/>
    <mergeCell ref="N72:P72"/>
    <mergeCell ref="H74:J74"/>
    <mergeCell ref="K74:M74"/>
    <mergeCell ref="B73:C73"/>
    <mergeCell ref="D73:E73"/>
    <mergeCell ref="F73:G73"/>
    <mergeCell ref="H73:J73"/>
    <mergeCell ref="K73:M73"/>
    <mergeCell ref="N73:P73"/>
    <mergeCell ref="B74:C74"/>
    <mergeCell ref="N74:P74"/>
    <mergeCell ref="D74:E74"/>
    <mergeCell ref="F74:G74"/>
    <mergeCell ref="D75:E75"/>
    <mergeCell ref="F75:G75"/>
    <mergeCell ref="H75:J75"/>
    <mergeCell ref="K75:M75"/>
    <mergeCell ref="N75:P75"/>
    <mergeCell ref="B75:C75"/>
    <mergeCell ref="B76:C76"/>
    <mergeCell ref="D76:E76"/>
    <mergeCell ref="F76:G76"/>
    <mergeCell ref="H76:J76"/>
    <mergeCell ref="K76:M76"/>
    <mergeCell ref="N76:P76"/>
    <mergeCell ref="H78:J78"/>
    <mergeCell ref="K78:M78"/>
    <mergeCell ref="B77:C77"/>
    <mergeCell ref="D77:E77"/>
    <mergeCell ref="F77:G77"/>
    <mergeCell ref="H77:J77"/>
    <mergeCell ref="K77:M77"/>
    <mergeCell ref="N77:P77"/>
    <mergeCell ref="B78:C78"/>
    <mergeCell ref="N78:P78"/>
    <mergeCell ref="H82:J82"/>
    <mergeCell ref="K82:M82"/>
    <mergeCell ref="B81:C81"/>
    <mergeCell ref="D81:E81"/>
    <mergeCell ref="F81:G81"/>
    <mergeCell ref="H81:J81"/>
    <mergeCell ref="K81:M81"/>
    <mergeCell ref="N81:P81"/>
    <mergeCell ref="B82:C82"/>
    <mergeCell ref="F14:G14"/>
    <mergeCell ref="H14:J14"/>
    <mergeCell ref="K14:M14"/>
    <mergeCell ref="N14:P14"/>
    <mergeCell ref="Q14:R14"/>
    <mergeCell ref="S14:T14"/>
    <mergeCell ref="Q12:R12"/>
    <mergeCell ref="S12:T12"/>
    <mergeCell ref="U12:V12"/>
    <mergeCell ref="Q13:R13"/>
    <mergeCell ref="U13:V13"/>
    <mergeCell ref="B14:C14"/>
    <mergeCell ref="D14:E14"/>
    <mergeCell ref="U14:V14"/>
    <mergeCell ref="S2:T2"/>
    <mergeCell ref="U2:V2"/>
    <mergeCell ref="B2:C2"/>
    <mergeCell ref="D2:E2"/>
    <mergeCell ref="F2:G2"/>
    <mergeCell ref="H2:J2"/>
    <mergeCell ref="K2:M2"/>
    <mergeCell ref="N2:P2"/>
    <mergeCell ref="Q2:R2"/>
    <mergeCell ref="B3:C3"/>
    <mergeCell ref="D3:E3"/>
    <mergeCell ref="F3:G3"/>
    <mergeCell ref="H3:J3"/>
    <mergeCell ref="K3:M3"/>
    <mergeCell ref="N3:P3"/>
    <mergeCell ref="Q3:R3"/>
    <mergeCell ref="B4:C4"/>
    <mergeCell ref="D4:E4"/>
    <mergeCell ref="F4:G4"/>
    <mergeCell ref="H4:J4"/>
    <mergeCell ref="K4:M4"/>
    <mergeCell ref="N4:P4"/>
    <mergeCell ref="Q4:R4"/>
    <mergeCell ref="B15:C15"/>
    <mergeCell ref="D15:E15"/>
    <mergeCell ref="F15:G15"/>
    <mergeCell ref="H15:J15"/>
    <mergeCell ref="K15:M15"/>
    <mergeCell ref="N15:P15"/>
    <mergeCell ref="Q15:R15"/>
    <mergeCell ref="B5:C5"/>
    <mergeCell ref="D5:E5"/>
    <mergeCell ref="F5:G5"/>
    <mergeCell ref="H5:J5"/>
    <mergeCell ref="K5:M5"/>
    <mergeCell ref="N5:P5"/>
    <mergeCell ref="Q5:R5"/>
    <mergeCell ref="S15:T15"/>
    <mergeCell ref="U15:V15"/>
    <mergeCell ref="B21:C21"/>
    <mergeCell ref="D21:E21"/>
    <mergeCell ref="F21:G21"/>
    <mergeCell ref="H21:J21"/>
    <mergeCell ref="K21:M21"/>
    <mergeCell ref="N21:P21"/>
    <mergeCell ref="Q21:R21"/>
    <mergeCell ref="B22:C22"/>
    <mergeCell ref="D22:E22"/>
    <mergeCell ref="F22:G22"/>
    <mergeCell ref="H22:J22"/>
    <mergeCell ref="K22:M22"/>
    <mergeCell ref="N22:P22"/>
    <mergeCell ref="Q22:R22"/>
    <mergeCell ref="B10:C10"/>
    <mergeCell ref="B12:C12"/>
    <mergeCell ref="D12:E12"/>
    <mergeCell ref="F12:G12"/>
    <mergeCell ref="H12:J12"/>
    <mergeCell ref="K12:M12"/>
    <mergeCell ref="N12:P12"/>
    <mergeCell ref="H16:J16"/>
    <mergeCell ref="K16:M16"/>
    <mergeCell ref="Q16:R16"/>
    <mergeCell ref="B13:C13"/>
    <mergeCell ref="D13:E13"/>
    <mergeCell ref="F13:G13"/>
    <mergeCell ref="H13:J13"/>
    <mergeCell ref="K13:M13"/>
    <mergeCell ref="N13:P13"/>
    <mergeCell ref="B16:C16"/>
    <mergeCell ref="N16:P16"/>
    <mergeCell ref="N17:P17"/>
    <mergeCell ref="Q17:R17"/>
    <mergeCell ref="D16:E16"/>
    <mergeCell ref="F16:G16"/>
    <mergeCell ref="B17:C17"/>
    <mergeCell ref="D17:E17"/>
    <mergeCell ref="F17:G17"/>
    <mergeCell ref="H17:J17"/>
    <mergeCell ref="K17:M17"/>
    <mergeCell ref="B18:C18"/>
    <mergeCell ref="D18:E18"/>
    <mergeCell ref="F18:G18"/>
    <mergeCell ref="H18:J18"/>
    <mergeCell ref="K18:M18"/>
    <mergeCell ref="N18:P18"/>
    <mergeCell ref="Q18:R18"/>
    <mergeCell ref="B23:C23"/>
    <mergeCell ref="D23:E23"/>
    <mergeCell ref="F23:G23"/>
    <mergeCell ref="H23:J23"/>
    <mergeCell ref="K23:M23"/>
    <mergeCell ref="N23:P23"/>
    <mergeCell ref="Q23:R23"/>
    <mergeCell ref="S29:T29"/>
    <mergeCell ref="U29:V29"/>
    <mergeCell ref="B29:C29"/>
    <mergeCell ref="D29:E29"/>
    <mergeCell ref="F29:G29"/>
    <mergeCell ref="H29:J29"/>
    <mergeCell ref="K29:M29"/>
    <mergeCell ref="N29:P29"/>
    <mergeCell ref="Q29:R29"/>
    <mergeCell ref="B19:C19"/>
    <mergeCell ref="D19:E19"/>
    <mergeCell ref="F19:G19"/>
    <mergeCell ref="H19:J19"/>
    <mergeCell ref="K19:M19"/>
    <mergeCell ref="N19:P19"/>
    <mergeCell ref="Q19:R19"/>
    <mergeCell ref="B20:C20"/>
    <mergeCell ref="D20:E20"/>
    <mergeCell ref="F20:G20"/>
    <mergeCell ref="H20:J20"/>
    <mergeCell ref="K20:M20"/>
    <mergeCell ref="N20:P20"/>
    <mergeCell ref="Q20:R20"/>
    <mergeCell ref="B24:C24"/>
    <mergeCell ref="D24:E24"/>
    <mergeCell ref="F24:G24"/>
    <mergeCell ref="H24:J24"/>
    <mergeCell ref="K24:M24"/>
    <mergeCell ref="N24:P24"/>
    <mergeCell ref="Q24:R24"/>
    <mergeCell ref="B25:C25"/>
    <mergeCell ref="D25:E25"/>
    <mergeCell ref="F25:G25"/>
    <mergeCell ref="H25:J25"/>
    <mergeCell ref="K25:M25"/>
    <mergeCell ref="N25:P25"/>
    <mergeCell ref="Q25:R25"/>
    <mergeCell ref="D26:E26"/>
    <mergeCell ref="F26:G26"/>
    <mergeCell ref="H26:J26"/>
    <mergeCell ref="K26:M26"/>
    <mergeCell ref="N26:P26"/>
    <mergeCell ref="Q26:R26"/>
    <mergeCell ref="A27:W27"/>
    <mergeCell ref="Q28:R28"/>
    <mergeCell ref="S28:T28"/>
    <mergeCell ref="U28:V28"/>
    <mergeCell ref="B26:C26"/>
    <mergeCell ref="B28:C28"/>
    <mergeCell ref="D28:E28"/>
    <mergeCell ref="F28:G28"/>
    <mergeCell ref="H28:J28"/>
    <mergeCell ref="K28:M28"/>
    <mergeCell ref="N28:P28"/>
    <mergeCell ref="S6:T6"/>
    <mergeCell ref="U6:V6"/>
    <mergeCell ref="B6:C6"/>
    <mergeCell ref="D6:E6"/>
    <mergeCell ref="F6:G6"/>
    <mergeCell ref="H6:J6"/>
    <mergeCell ref="K6:M6"/>
    <mergeCell ref="N6:P6"/>
    <mergeCell ref="Q6:R6"/>
    <mergeCell ref="S7:T7"/>
    <mergeCell ref="U7:V7"/>
    <mergeCell ref="B7:C7"/>
    <mergeCell ref="D7:E7"/>
    <mergeCell ref="F7:G7"/>
    <mergeCell ref="H7:J7"/>
    <mergeCell ref="K7:M7"/>
    <mergeCell ref="N7:P7"/>
    <mergeCell ref="Q7:R7"/>
    <mergeCell ref="S8:T8"/>
    <mergeCell ref="U8:V8"/>
    <mergeCell ref="B8:C8"/>
    <mergeCell ref="D8:E8"/>
    <mergeCell ref="F8:G8"/>
    <mergeCell ref="H8:J8"/>
    <mergeCell ref="K8:M8"/>
    <mergeCell ref="N8:P8"/>
    <mergeCell ref="Q8:R8"/>
    <mergeCell ref="S9:T9"/>
    <mergeCell ref="U9:V9"/>
    <mergeCell ref="B9:C9"/>
    <mergeCell ref="D9:E9"/>
    <mergeCell ref="F9:G9"/>
    <mergeCell ref="H9:J9"/>
    <mergeCell ref="K9:M9"/>
    <mergeCell ref="N9:P9"/>
    <mergeCell ref="Q9:R9"/>
    <mergeCell ref="S10:T10"/>
    <mergeCell ref="U10:V10"/>
    <mergeCell ref="D10:E10"/>
    <mergeCell ref="F10:G10"/>
    <mergeCell ref="H10:J10"/>
    <mergeCell ref="K10:M10"/>
    <mergeCell ref="N10:P10"/>
    <mergeCell ref="Q10:R10"/>
    <mergeCell ref="A11:W11"/>
    <mergeCell ref="N30:P30"/>
    <mergeCell ref="Q30:R30"/>
    <mergeCell ref="S23:T23"/>
    <mergeCell ref="U23:V23"/>
    <mergeCell ref="B30:C30"/>
    <mergeCell ref="D30:E30"/>
    <mergeCell ref="F30:G30"/>
    <mergeCell ref="H30:J30"/>
    <mergeCell ref="K30:M30"/>
    <mergeCell ref="D31:E31"/>
    <mergeCell ref="F31:G31"/>
    <mergeCell ref="H31:J31"/>
    <mergeCell ref="K31:M31"/>
    <mergeCell ref="N31:P31"/>
    <mergeCell ref="Q31:R31"/>
    <mergeCell ref="A32:W32"/>
    <mergeCell ref="B31:C31"/>
    <mergeCell ref="B33:C33"/>
    <mergeCell ref="D33:E33"/>
    <mergeCell ref="F33:G33"/>
    <mergeCell ref="H33:J33"/>
    <mergeCell ref="K33:M33"/>
    <mergeCell ref="N33:P33"/>
    <mergeCell ref="H35:J35"/>
    <mergeCell ref="K35:M35"/>
    <mergeCell ref="H36:J36"/>
    <mergeCell ref="K36:M36"/>
    <mergeCell ref="N36:P36"/>
    <mergeCell ref="H37:J37"/>
    <mergeCell ref="K37:M37"/>
    <mergeCell ref="N37:P37"/>
    <mergeCell ref="B34:C34"/>
    <mergeCell ref="D34:E34"/>
    <mergeCell ref="F34:G34"/>
    <mergeCell ref="H34:J34"/>
    <mergeCell ref="K34:M34"/>
    <mergeCell ref="N34:P34"/>
    <mergeCell ref="B35:C35"/>
    <mergeCell ref="N35:P35"/>
    <mergeCell ref="B37:C37"/>
    <mergeCell ref="B38:C38"/>
    <mergeCell ref="D38:E38"/>
    <mergeCell ref="F38:G38"/>
    <mergeCell ref="H38:J38"/>
    <mergeCell ref="K38:M38"/>
    <mergeCell ref="N38:P38"/>
    <mergeCell ref="D35:E35"/>
    <mergeCell ref="F35:G35"/>
    <mergeCell ref="B36:C36"/>
    <mergeCell ref="D36:E36"/>
    <mergeCell ref="F36:G36"/>
    <mergeCell ref="D37:E37"/>
    <mergeCell ref="F37:G37"/>
    <mergeCell ref="D40:E40"/>
    <mergeCell ref="F40:G40"/>
    <mergeCell ref="H40:J40"/>
    <mergeCell ref="K40:M40"/>
    <mergeCell ref="B39:C39"/>
    <mergeCell ref="D39:E39"/>
    <mergeCell ref="F39:G39"/>
    <mergeCell ref="H39:J39"/>
    <mergeCell ref="K39:M39"/>
    <mergeCell ref="N39:P39"/>
    <mergeCell ref="N40:P40"/>
    <mergeCell ref="B40:C40"/>
    <mergeCell ref="B41:C41"/>
    <mergeCell ref="D41:E41"/>
    <mergeCell ref="F41:G41"/>
    <mergeCell ref="H41:J41"/>
    <mergeCell ref="K41:M41"/>
    <mergeCell ref="N41:P41"/>
    <mergeCell ref="H43:J43"/>
    <mergeCell ref="K43:M43"/>
    <mergeCell ref="H44:J44"/>
    <mergeCell ref="K44:M44"/>
    <mergeCell ref="N44:P44"/>
    <mergeCell ref="H45:J45"/>
    <mergeCell ref="K45:M45"/>
    <mergeCell ref="N45:P45"/>
    <mergeCell ref="B42:C42"/>
    <mergeCell ref="D42:E42"/>
    <mergeCell ref="F42:G42"/>
    <mergeCell ref="H42:J42"/>
    <mergeCell ref="K42:M42"/>
    <mergeCell ref="N42:P42"/>
    <mergeCell ref="B43:C43"/>
    <mergeCell ref="N43:P43"/>
    <mergeCell ref="B45:C45"/>
    <mergeCell ref="B46:C46"/>
    <mergeCell ref="D46:E46"/>
    <mergeCell ref="F46:G46"/>
    <mergeCell ref="H46:J46"/>
    <mergeCell ref="K46:M46"/>
    <mergeCell ref="N46:P46"/>
    <mergeCell ref="D43:E43"/>
    <mergeCell ref="F43:G43"/>
    <mergeCell ref="B44:C44"/>
    <mergeCell ref="D44:E44"/>
    <mergeCell ref="F44:G44"/>
    <mergeCell ref="D45:E45"/>
    <mergeCell ref="F45:G45"/>
    <mergeCell ref="H53:J53"/>
    <mergeCell ref="K53:M53"/>
    <mergeCell ref="H54:J54"/>
    <mergeCell ref="K54:M54"/>
    <mergeCell ref="N54:P54"/>
    <mergeCell ref="H55:J55"/>
    <mergeCell ref="K55:M55"/>
    <mergeCell ref="N55:P55"/>
    <mergeCell ref="D53:E53"/>
    <mergeCell ref="F53:G53"/>
    <mergeCell ref="B54:C54"/>
    <mergeCell ref="D54:E54"/>
    <mergeCell ref="F54:G54"/>
    <mergeCell ref="D55:E55"/>
    <mergeCell ref="F55:G55"/>
    <mergeCell ref="H58:J58"/>
    <mergeCell ref="K58:M58"/>
    <mergeCell ref="B57:C57"/>
    <mergeCell ref="D57:E57"/>
    <mergeCell ref="F57:G57"/>
    <mergeCell ref="H57:J57"/>
    <mergeCell ref="K57:M57"/>
    <mergeCell ref="N57:P57"/>
    <mergeCell ref="B58:C58"/>
    <mergeCell ref="N58:P58"/>
    <mergeCell ref="D58:E58"/>
    <mergeCell ref="F58:G58"/>
    <mergeCell ref="D59:E59"/>
    <mergeCell ref="F59:G59"/>
    <mergeCell ref="H59:J59"/>
    <mergeCell ref="K59:M59"/>
    <mergeCell ref="N59:P59"/>
    <mergeCell ref="B59:C59"/>
    <mergeCell ref="B60:C60"/>
    <mergeCell ref="D60:E60"/>
    <mergeCell ref="F60:G60"/>
    <mergeCell ref="H60:J60"/>
    <mergeCell ref="K60:M60"/>
    <mergeCell ref="N60:P60"/>
    <mergeCell ref="H62:J62"/>
    <mergeCell ref="K62:M62"/>
    <mergeCell ref="B61:C61"/>
    <mergeCell ref="D61:E61"/>
    <mergeCell ref="F61:G61"/>
    <mergeCell ref="H61:J61"/>
    <mergeCell ref="K61:M61"/>
    <mergeCell ref="N61:P61"/>
    <mergeCell ref="B62:C62"/>
    <mergeCell ref="N62:P62"/>
    <mergeCell ref="D62:E62"/>
    <mergeCell ref="F62:G62"/>
    <mergeCell ref="D63:E63"/>
    <mergeCell ref="F63:G63"/>
    <mergeCell ref="H63:J63"/>
    <mergeCell ref="K63:M63"/>
    <mergeCell ref="N63:P63"/>
    <mergeCell ref="B63:C63"/>
    <mergeCell ref="B64:C64"/>
    <mergeCell ref="D64:E64"/>
    <mergeCell ref="F64:G64"/>
    <mergeCell ref="H64:J64"/>
    <mergeCell ref="K64:M64"/>
    <mergeCell ref="N64:P64"/>
    <mergeCell ref="H66:J66"/>
    <mergeCell ref="K66:M66"/>
    <mergeCell ref="B65:C65"/>
    <mergeCell ref="D65:E65"/>
    <mergeCell ref="F65:G65"/>
    <mergeCell ref="H65:J65"/>
    <mergeCell ref="K65:M65"/>
    <mergeCell ref="N65:P65"/>
    <mergeCell ref="B66:C66"/>
    <mergeCell ref="N66:P66"/>
    <mergeCell ref="S74:T74"/>
    <mergeCell ref="U74:V74"/>
    <mergeCell ref="Q75:R75"/>
    <mergeCell ref="Q76:R76"/>
    <mergeCell ref="Q77:R77"/>
    <mergeCell ref="Q78:R78"/>
    <mergeCell ref="Q79:R79"/>
    <mergeCell ref="Q80:R80"/>
    <mergeCell ref="Q81:R81"/>
    <mergeCell ref="Q72:R72"/>
    <mergeCell ref="S72:T72"/>
    <mergeCell ref="U72:V72"/>
    <mergeCell ref="Q73:R73"/>
    <mergeCell ref="S73:T73"/>
    <mergeCell ref="U73:V73"/>
    <mergeCell ref="Q74:R74"/>
    <mergeCell ref="N83:P83"/>
    <mergeCell ref="Q83:R83"/>
    <mergeCell ref="S81:T81"/>
    <mergeCell ref="U81:V81"/>
    <mergeCell ref="B83:C83"/>
    <mergeCell ref="D83:E83"/>
    <mergeCell ref="F83:G83"/>
    <mergeCell ref="H83:J83"/>
    <mergeCell ref="K83:M83"/>
    <mergeCell ref="S84:T84"/>
    <mergeCell ref="U84:V84"/>
    <mergeCell ref="I85:J85"/>
    <mergeCell ref="I86:J86"/>
    <mergeCell ref="B84:C84"/>
    <mergeCell ref="D84:E84"/>
    <mergeCell ref="F84:G84"/>
    <mergeCell ref="H84:J84"/>
    <mergeCell ref="K84:M84"/>
    <mergeCell ref="N84:P84"/>
    <mergeCell ref="Q84:R84"/>
    <mergeCell ref="S75:T75"/>
    <mergeCell ref="U75:V75"/>
    <mergeCell ref="S76:T76"/>
    <mergeCell ref="U76:V76"/>
    <mergeCell ref="S77:T77"/>
    <mergeCell ref="U77:V77"/>
    <mergeCell ref="S78:T78"/>
    <mergeCell ref="U78:V78"/>
    <mergeCell ref="S79:T79"/>
    <mergeCell ref="U79:V79"/>
    <mergeCell ref="S80:T80"/>
    <mergeCell ref="U80:V80"/>
    <mergeCell ref="S83:T83"/>
    <mergeCell ref="U83:V83"/>
    <mergeCell ref="S5:T5"/>
    <mergeCell ref="S13:T13"/>
    <mergeCell ref="S24:T24"/>
    <mergeCell ref="U24:V24"/>
    <mergeCell ref="S25:T25"/>
    <mergeCell ref="U25:V25"/>
    <mergeCell ref="S26:T26"/>
    <mergeCell ref="U26:V26"/>
    <mergeCell ref="S3:T3"/>
    <mergeCell ref="U3:V3"/>
    <mergeCell ref="W3:W10"/>
    <mergeCell ref="S4:T4"/>
    <mergeCell ref="U4:V4"/>
    <mergeCell ref="U5:V5"/>
    <mergeCell ref="W12:W26"/>
    <mergeCell ref="S34:T34"/>
    <mergeCell ref="S35:T35"/>
    <mergeCell ref="S37:T37"/>
    <mergeCell ref="U37:V37"/>
    <mergeCell ref="S16:T16"/>
    <mergeCell ref="U16:V16"/>
    <mergeCell ref="S17:T17"/>
    <mergeCell ref="U17:V17"/>
    <mergeCell ref="S18:T18"/>
    <mergeCell ref="U18:V18"/>
    <mergeCell ref="U19:V19"/>
    <mergeCell ref="S20:T20"/>
    <mergeCell ref="U20:V20"/>
    <mergeCell ref="S21:T21"/>
    <mergeCell ref="U21:V21"/>
    <mergeCell ref="S22:T22"/>
    <mergeCell ref="U22:V22"/>
    <mergeCell ref="Q33:R33"/>
    <mergeCell ref="S33:T33"/>
    <mergeCell ref="U33:V33"/>
    <mergeCell ref="Q34:R34"/>
    <mergeCell ref="Q35:R35"/>
    <mergeCell ref="Q36:R36"/>
    <mergeCell ref="Q37:R37"/>
    <mergeCell ref="S41:T41"/>
    <mergeCell ref="U41:V41"/>
    <mergeCell ref="S42:T42"/>
    <mergeCell ref="U42:V42"/>
    <mergeCell ref="S43:T43"/>
    <mergeCell ref="U43:V43"/>
    <mergeCell ref="S44:T44"/>
    <mergeCell ref="U44:V44"/>
    <mergeCell ref="S45:T45"/>
    <mergeCell ref="U45:V45"/>
    <mergeCell ref="S46:T46"/>
    <mergeCell ref="U46:V46"/>
    <mergeCell ref="S47:T47"/>
    <mergeCell ref="U47:V47"/>
    <mergeCell ref="S40:T40"/>
    <mergeCell ref="U40:V40"/>
    <mergeCell ref="Q38:R38"/>
    <mergeCell ref="S38:T38"/>
    <mergeCell ref="U38:V38"/>
    <mergeCell ref="Q39:R39"/>
    <mergeCell ref="S39:T39"/>
    <mergeCell ref="U39:V39"/>
    <mergeCell ref="Q40:R40"/>
    <mergeCell ref="Q48:R48"/>
    <mergeCell ref="S48:T48"/>
    <mergeCell ref="U48:V48"/>
    <mergeCell ref="S49:T49"/>
    <mergeCell ref="U49:V49"/>
    <mergeCell ref="Q41:R41"/>
    <mergeCell ref="Q42:R42"/>
    <mergeCell ref="Q43:R43"/>
    <mergeCell ref="Q44:R44"/>
    <mergeCell ref="Q45:R45"/>
    <mergeCell ref="Q46:R46"/>
    <mergeCell ref="Q47:R47"/>
    <mergeCell ref="Q49:R49"/>
    <mergeCell ref="Q50:R50"/>
    <mergeCell ref="S50:T50"/>
    <mergeCell ref="U50:V50"/>
    <mergeCell ref="Q51:R51"/>
    <mergeCell ref="S51:T51"/>
    <mergeCell ref="U51:V51"/>
    <mergeCell ref="S54:T54"/>
    <mergeCell ref="U54:V54"/>
    <mergeCell ref="Q52:R52"/>
    <mergeCell ref="S52:T52"/>
    <mergeCell ref="U52:V52"/>
    <mergeCell ref="Q53:R53"/>
    <mergeCell ref="S53:T53"/>
    <mergeCell ref="U53:V53"/>
    <mergeCell ref="Q54:R54"/>
    <mergeCell ref="S58:T58"/>
    <mergeCell ref="U58:V58"/>
    <mergeCell ref="S59:T59"/>
    <mergeCell ref="U59:V59"/>
    <mergeCell ref="S60:T60"/>
    <mergeCell ref="U60:V60"/>
    <mergeCell ref="S61:T61"/>
    <mergeCell ref="U61:V61"/>
    <mergeCell ref="S62:T62"/>
    <mergeCell ref="U62:V62"/>
    <mergeCell ref="S63:T63"/>
    <mergeCell ref="U63:V63"/>
    <mergeCell ref="S64:T64"/>
    <mergeCell ref="U64:V64"/>
    <mergeCell ref="S57:T57"/>
    <mergeCell ref="U57:V57"/>
    <mergeCell ref="Q55:R55"/>
    <mergeCell ref="S55:T55"/>
    <mergeCell ref="U55:V55"/>
    <mergeCell ref="Q56:R56"/>
    <mergeCell ref="S56:T56"/>
    <mergeCell ref="U56:V56"/>
    <mergeCell ref="Q57:R57"/>
    <mergeCell ref="Q65:R65"/>
    <mergeCell ref="S65:T65"/>
    <mergeCell ref="U65:V65"/>
    <mergeCell ref="S66:T66"/>
    <mergeCell ref="U66:V66"/>
    <mergeCell ref="Q58:R58"/>
    <mergeCell ref="Q59:R59"/>
    <mergeCell ref="Q60:R60"/>
    <mergeCell ref="Q61:R61"/>
    <mergeCell ref="Q62:R62"/>
    <mergeCell ref="Q63:R63"/>
    <mergeCell ref="Q64:R64"/>
    <mergeCell ref="Q82:R82"/>
    <mergeCell ref="Q66:R66"/>
    <mergeCell ref="Q67:R67"/>
    <mergeCell ref="S67:T67"/>
    <mergeCell ref="U67:V67"/>
    <mergeCell ref="Q68:R68"/>
    <mergeCell ref="S68:T68"/>
    <mergeCell ref="U68:V68"/>
    <mergeCell ref="S71:T71"/>
    <mergeCell ref="U71:V71"/>
    <mergeCell ref="S82:T82"/>
    <mergeCell ref="U82:V82"/>
    <mergeCell ref="Q69:R69"/>
    <mergeCell ref="S69:T69"/>
    <mergeCell ref="U69:V69"/>
    <mergeCell ref="Q70:R70"/>
    <mergeCell ref="S70:T70"/>
    <mergeCell ref="U70:V70"/>
    <mergeCell ref="Q71:R71"/>
    <mergeCell ref="U35:V35"/>
    <mergeCell ref="S36:T36"/>
    <mergeCell ref="U36:V36"/>
    <mergeCell ref="W28:W31"/>
    <mergeCell ref="S30:T30"/>
    <mergeCell ref="U30:V30"/>
    <mergeCell ref="S31:T31"/>
    <mergeCell ref="U31:V31"/>
    <mergeCell ref="W33:W84"/>
    <mergeCell ref="U34:V3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43"/>
    <col customWidth="1" min="3" max="3" width="8.71"/>
    <col customWidth="1" min="4" max="4" width="28.43"/>
    <col customWidth="1" min="5" max="5" width="21.86"/>
    <col customWidth="1" min="6" max="6" width="23.0"/>
    <col customWidth="1" min="7" max="7" width="18.57"/>
    <col customWidth="1" min="8" max="8" width="11.29"/>
    <col customWidth="1" min="9" max="9" width="10.86"/>
    <col customWidth="1" min="10" max="16" width="10.71"/>
    <col customWidth="1" min="17" max="17" width="8.71"/>
    <col customWidth="1" min="18" max="18" width="10.71"/>
    <col customWidth="1" min="19" max="19" width="8.71"/>
    <col customWidth="1" min="20" max="20" width="10.71"/>
    <col customWidth="1" min="21" max="22" width="8.71"/>
    <col customWidth="1" min="23" max="23" width="10.71"/>
    <col customWidth="1" min="24" max="36" width="8.71"/>
  </cols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7" t="s">
        <v>25</v>
      </c>
    </row>
    <row r="2">
      <c r="A2" s="2" t="str">
        <f t="shared" ref="A2:A80" si="1">TEXT($H2,"yyyymmdd")&amp;"-"&amp;$B2
</f>
        <v>20231024-16</v>
      </c>
      <c r="B2" s="1">
        <v>16.0</v>
      </c>
      <c r="C2" s="3">
        <v>46.0</v>
      </c>
      <c r="D2" s="3"/>
      <c r="E2" s="3"/>
      <c r="F2" s="1"/>
      <c r="G2" s="1"/>
      <c r="H2" s="8">
        <v>45223.0</v>
      </c>
      <c r="I2" s="4" t="str">
        <f t="shared" ref="I2:I80" si="2">TEXT(H2,"yyyy-mm")</f>
        <v>2023-10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" t="str">
        <f t="shared" si="1"/>
        <v>20231025-15,8</v>
      </c>
      <c r="B3" s="1">
        <v>15.8</v>
      </c>
      <c r="C3" s="2">
        <v>49.0</v>
      </c>
      <c r="D3" s="2"/>
      <c r="E3" s="2"/>
      <c r="F3" s="1"/>
      <c r="G3" s="1"/>
      <c r="H3" s="8">
        <v>45224.0</v>
      </c>
      <c r="I3" s="4" t="str">
        <f t="shared" si="2"/>
        <v>2023-10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" t="str">
        <f t="shared" si="1"/>
        <v>20231026-16,8</v>
      </c>
      <c r="B4" s="1">
        <v>16.8</v>
      </c>
      <c r="C4" s="2">
        <v>56.0</v>
      </c>
      <c r="D4" s="2"/>
      <c r="E4" s="2"/>
      <c r="F4" s="1"/>
      <c r="G4" s="1"/>
      <c r="H4" s="8">
        <v>45225.0</v>
      </c>
      <c r="I4" s="4" t="str">
        <f t="shared" si="2"/>
        <v>2023-10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2" t="str">
        <f t="shared" si="1"/>
        <v>20231027-16</v>
      </c>
      <c r="B5" s="1">
        <v>16.0</v>
      </c>
      <c r="C5" s="2">
        <v>47.0</v>
      </c>
      <c r="D5" s="2"/>
      <c r="E5" s="2"/>
      <c r="F5" s="1"/>
      <c r="G5" s="1"/>
      <c r="H5" s="8">
        <v>45226.0</v>
      </c>
      <c r="I5" s="4" t="str">
        <f t="shared" si="2"/>
        <v>2023-10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" t="str">
        <f t="shared" si="1"/>
        <v>20231028-12,8</v>
      </c>
      <c r="B6" s="1">
        <v>12.8</v>
      </c>
      <c r="C6" s="2">
        <v>25.0</v>
      </c>
      <c r="D6" s="2"/>
      <c r="E6" s="2"/>
      <c r="F6" s="1"/>
      <c r="G6" s="1"/>
      <c r="H6" s="8">
        <v>45227.0</v>
      </c>
      <c r="I6" s="4" t="str">
        <f t="shared" si="2"/>
        <v>2023-10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" t="str">
        <f t="shared" si="1"/>
        <v>20231029-12</v>
      </c>
      <c r="B7" s="1">
        <v>12.0</v>
      </c>
      <c r="C7" s="2">
        <v>17.0</v>
      </c>
      <c r="D7" s="2"/>
      <c r="E7" s="2"/>
      <c r="F7" s="1"/>
      <c r="G7" s="1"/>
      <c r="H7" s="8">
        <v>45228.0</v>
      </c>
      <c r="I7" s="4" t="str">
        <f t="shared" si="2"/>
        <v>2023-10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" t="str">
        <f t="shared" si="1"/>
        <v>20231030-11,5</v>
      </c>
      <c r="B8" s="1">
        <v>11.5</v>
      </c>
      <c r="C8" s="2">
        <v>13.0</v>
      </c>
      <c r="D8" s="2"/>
      <c r="E8" s="2"/>
      <c r="F8" s="1"/>
      <c r="G8" s="1"/>
      <c r="H8" s="8">
        <v>45229.0</v>
      </c>
      <c r="I8" s="4" t="str">
        <f t="shared" si="2"/>
        <v>2023-10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" t="str">
        <f t="shared" si="1"/>
        <v>20231031-11,4</v>
      </c>
      <c r="B9" s="1">
        <v>11.4</v>
      </c>
      <c r="C9" s="2">
        <v>13.0</v>
      </c>
      <c r="D9" s="2"/>
      <c r="E9" s="2"/>
      <c r="F9" s="1"/>
      <c r="G9" s="1"/>
      <c r="H9" s="8">
        <v>45230.0</v>
      </c>
      <c r="I9" s="4" t="str">
        <f t="shared" si="2"/>
        <v>2023-10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" t="str">
        <f t="shared" si="1"/>
        <v>20231107-11,9</v>
      </c>
      <c r="B10" s="1">
        <v>11.9</v>
      </c>
      <c r="C10" s="1"/>
      <c r="D10" s="1"/>
      <c r="E10" s="1"/>
      <c r="F10" s="1"/>
      <c r="G10" s="1" t="s">
        <v>14</v>
      </c>
      <c r="H10" s="8">
        <v>45237.0</v>
      </c>
      <c r="I10" s="4" t="str">
        <f t="shared" si="2"/>
        <v>2023-11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" t="str">
        <f t="shared" si="1"/>
        <v>20231108-10,5</v>
      </c>
      <c r="B11" s="1">
        <v>10.5</v>
      </c>
      <c r="C11" s="1"/>
      <c r="D11" s="1"/>
      <c r="E11" s="1"/>
      <c r="F11" s="1"/>
      <c r="G11" s="1" t="s">
        <v>15</v>
      </c>
      <c r="H11" s="8">
        <v>45238.0</v>
      </c>
      <c r="I11" s="4" t="str">
        <f t="shared" si="2"/>
        <v>2023-11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" t="str">
        <f t="shared" si="1"/>
        <v>20231109-12</v>
      </c>
      <c r="B12" s="1">
        <v>12.0</v>
      </c>
      <c r="C12" s="1"/>
      <c r="D12" s="1"/>
      <c r="E12" s="1"/>
      <c r="F12" s="1"/>
      <c r="G12" s="1" t="s">
        <v>15</v>
      </c>
      <c r="H12" s="8">
        <v>45239.0</v>
      </c>
      <c r="I12" s="4" t="str">
        <f t="shared" si="2"/>
        <v>2023-11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" t="str">
        <f t="shared" si="1"/>
        <v>20231110-10,9</v>
      </c>
      <c r="B13" s="1">
        <v>10.9</v>
      </c>
      <c r="C13" s="1"/>
      <c r="D13" s="1"/>
      <c r="E13" s="1"/>
      <c r="F13" s="1"/>
      <c r="G13" s="1" t="s">
        <v>15</v>
      </c>
      <c r="H13" s="8">
        <v>45240.0</v>
      </c>
      <c r="I13" s="4" t="str">
        <f t="shared" si="2"/>
        <v>2023-11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" t="str">
        <f t="shared" si="1"/>
        <v>20231111-10,6</v>
      </c>
      <c r="B14" s="1">
        <v>10.6</v>
      </c>
      <c r="C14" s="1"/>
      <c r="D14" s="1"/>
      <c r="E14" s="1"/>
      <c r="F14" s="1"/>
      <c r="G14" s="1" t="s">
        <v>14</v>
      </c>
      <c r="H14" s="8">
        <v>45241.0</v>
      </c>
      <c r="I14" s="4" t="str">
        <f t="shared" si="2"/>
        <v>2023-11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" t="str">
        <f t="shared" si="1"/>
        <v>20231112-10,9</v>
      </c>
      <c r="B15" s="1">
        <v>10.9</v>
      </c>
      <c r="C15" s="1"/>
      <c r="D15" s="1"/>
      <c r="E15" s="1"/>
      <c r="F15" s="1"/>
      <c r="G15" s="1" t="s">
        <v>15</v>
      </c>
      <c r="H15" s="8">
        <v>45242.0</v>
      </c>
      <c r="I15" s="4" t="str">
        <f t="shared" si="2"/>
        <v>2023-11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" t="str">
        <f t="shared" si="1"/>
        <v>20231113-7,5</v>
      </c>
      <c r="B16" s="1">
        <v>7.5</v>
      </c>
      <c r="C16" s="1"/>
      <c r="D16" s="1"/>
      <c r="E16" s="1"/>
      <c r="F16" s="1"/>
      <c r="G16" s="1" t="s">
        <v>15</v>
      </c>
      <c r="H16" s="8">
        <v>45243.0</v>
      </c>
      <c r="I16" s="4" t="str">
        <f t="shared" si="2"/>
        <v>2023-11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2" t="str">
        <f t="shared" si="1"/>
        <v>20231114-13,3</v>
      </c>
      <c r="B17" s="1">
        <v>13.3</v>
      </c>
      <c r="C17" s="1"/>
      <c r="D17" s="2"/>
      <c r="E17" s="5"/>
      <c r="F17" s="5"/>
      <c r="G17" s="5" t="s">
        <v>16</v>
      </c>
      <c r="H17" s="8">
        <v>45244.0</v>
      </c>
      <c r="I17" s="4" t="str">
        <f t="shared" si="2"/>
        <v>2023-11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" t="str">
        <f t="shared" si="1"/>
        <v>20231115-12</v>
      </c>
      <c r="B18" s="1">
        <v>12.0</v>
      </c>
      <c r="C18" s="1"/>
      <c r="D18" s="1"/>
      <c r="E18" s="1"/>
      <c r="F18" s="1"/>
      <c r="G18" s="1" t="s">
        <v>14</v>
      </c>
      <c r="H18" s="8">
        <v>45245.0</v>
      </c>
      <c r="I18" s="4" t="str">
        <f t="shared" si="2"/>
        <v>2023-11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" t="str">
        <f t="shared" si="1"/>
        <v>20231116-10,5</v>
      </c>
      <c r="B19" s="1">
        <v>10.5</v>
      </c>
      <c r="C19" s="1"/>
      <c r="D19" s="1"/>
      <c r="E19" s="1"/>
      <c r="F19" s="1"/>
      <c r="G19" s="1" t="s">
        <v>15</v>
      </c>
      <c r="H19" s="8">
        <v>45246.0</v>
      </c>
      <c r="I19" s="4" t="str">
        <f t="shared" si="2"/>
        <v>2023-11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" t="str">
        <f t="shared" si="1"/>
        <v>20231117-11,5</v>
      </c>
      <c r="B20" s="1">
        <v>11.5</v>
      </c>
      <c r="C20" s="1"/>
      <c r="D20" s="1"/>
      <c r="E20" s="1"/>
      <c r="F20" s="1"/>
      <c r="G20" s="1" t="s">
        <v>15</v>
      </c>
      <c r="H20" s="8">
        <v>45247.0</v>
      </c>
      <c r="I20" s="4" t="str">
        <f t="shared" si="2"/>
        <v>2023-11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2" t="str">
        <f t="shared" si="1"/>
        <v>20231118-10,5</v>
      </c>
      <c r="B21" s="1">
        <v>10.5</v>
      </c>
      <c r="C21" s="1"/>
      <c r="D21" s="2"/>
      <c r="E21" s="1"/>
      <c r="F21" s="1"/>
      <c r="G21" s="1" t="s">
        <v>14</v>
      </c>
      <c r="H21" s="8">
        <v>45248.0</v>
      </c>
      <c r="I21" s="4" t="str">
        <f t="shared" si="2"/>
        <v>2023-11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" t="str">
        <f t="shared" si="1"/>
        <v>20231119-10,2</v>
      </c>
      <c r="B22" s="1">
        <v>10.2</v>
      </c>
      <c r="C22" s="1"/>
      <c r="D22" s="1"/>
      <c r="E22" s="1"/>
      <c r="F22" s="1"/>
      <c r="G22" s="1" t="s">
        <v>15</v>
      </c>
      <c r="H22" s="8">
        <v>45249.0</v>
      </c>
      <c r="I22" s="4" t="str">
        <f t="shared" si="2"/>
        <v>2023-11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" t="str">
        <f t="shared" si="1"/>
        <v>20231120-11,5</v>
      </c>
      <c r="B23" s="1">
        <v>11.5</v>
      </c>
      <c r="C23" s="1"/>
      <c r="D23" s="1"/>
      <c r="E23" s="1"/>
      <c r="F23" s="1"/>
      <c r="G23" s="1" t="s">
        <v>14</v>
      </c>
      <c r="H23" s="8">
        <v>45250.0</v>
      </c>
      <c r="I23" s="4" t="str">
        <f t="shared" si="2"/>
        <v>2023-11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" t="str">
        <f t="shared" si="1"/>
        <v>20231121-13,4</v>
      </c>
      <c r="B24" s="1">
        <v>13.4</v>
      </c>
      <c r="C24" s="1"/>
      <c r="D24" s="2"/>
      <c r="E24" s="1"/>
      <c r="F24" s="1"/>
      <c r="G24" s="1" t="s">
        <v>14</v>
      </c>
      <c r="H24" s="8">
        <v>45251.0</v>
      </c>
      <c r="I24" s="4" t="str">
        <f t="shared" si="2"/>
        <v>2023-11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" t="str">
        <f t="shared" si="1"/>
        <v>20240225-16,5</v>
      </c>
      <c r="B25" s="1">
        <v>16.5</v>
      </c>
      <c r="C25" s="1">
        <v>65.5</v>
      </c>
      <c r="D25" s="1"/>
      <c r="E25" s="1"/>
      <c r="F25" s="1"/>
      <c r="G25" s="1"/>
      <c r="H25" s="8">
        <v>45347.0</v>
      </c>
      <c r="I25" s="4" t="str">
        <f t="shared" si="2"/>
        <v>2024-02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" t="str">
        <f t="shared" si="1"/>
        <v>20240226-17</v>
      </c>
      <c r="B26" s="1">
        <v>17.0</v>
      </c>
      <c r="C26" s="1">
        <v>71.7</v>
      </c>
      <c r="D26" s="1"/>
      <c r="E26" s="1"/>
      <c r="F26" s="1"/>
      <c r="G26" s="1"/>
      <c r="H26" s="8">
        <v>45348.0</v>
      </c>
      <c r="I26" s="4" t="str">
        <f t="shared" si="2"/>
        <v>2024-02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" t="str">
        <f t="shared" si="1"/>
        <v>20240227-17</v>
      </c>
      <c r="B27" s="1">
        <v>17.0</v>
      </c>
      <c r="C27" s="1">
        <v>72.1</v>
      </c>
      <c r="D27" s="1"/>
      <c r="E27" s="1"/>
      <c r="F27" s="1"/>
      <c r="G27" s="1"/>
      <c r="H27" s="8">
        <v>45349.0</v>
      </c>
      <c r="I27" s="4" t="str">
        <f t="shared" si="2"/>
        <v>2024-02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" t="str">
        <f t="shared" si="1"/>
        <v>20240228-15,5</v>
      </c>
      <c r="B28" s="1">
        <v>15.5</v>
      </c>
      <c r="C28" s="1">
        <v>52.5</v>
      </c>
      <c r="D28" s="1"/>
      <c r="E28" s="1"/>
      <c r="F28" s="1"/>
      <c r="G28" s="1"/>
      <c r="H28" s="8">
        <v>45350.0</v>
      </c>
      <c r="I28" s="4" t="str">
        <f t="shared" si="2"/>
        <v>2024-02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" t="str">
        <f t="shared" si="1"/>
        <v>20240325-11,5</v>
      </c>
      <c r="B29" s="1">
        <v>11.5</v>
      </c>
      <c r="C29" s="1"/>
      <c r="D29" s="1">
        <v>2.7</v>
      </c>
      <c r="E29" s="1">
        <v>2.0</v>
      </c>
      <c r="F29" s="1">
        <v>0.8</v>
      </c>
      <c r="G29" s="1"/>
      <c r="H29" s="8">
        <v>45376.0</v>
      </c>
      <c r="I29" s="4" t="str">
        <f t="shared" si="2"/>
        <v>2024-03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2" t="str">
        <f t="shared" si="1"/>
        <v>20240326-11,4</v>
      </c>
      <c r="B30" s="1">
        <v>11.4</v>
      </c>
      <c r="C30" s="1"/>
      <c r="D30" s="1">
        <v>2.8</v>
      </c>
      <c r="E30" s="1">
        <v>1.9</v>
      </c>
      <c r="F30" s="1">
        <v>0.6</v>
      </c>
      <c r="G30" s="1"/>
      <c r="H30" s="8">
        <v>45377.0</v>
      </c>
      <c r="I30" s="4" t="str">
        <f t="shared" si="2"/>
        <v>2024-03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2" t="str">
        <f t="shared" si="1"/>
        <v>20240327-11,3</v>
      </c>
      <c r="B31" s="1">
        <v>11.3</v>
      </c>
      <c r="C31" s="1"/>
      <c r="D31" s="1">
        <v>2.4</v>
      </c>
      <c r="E31" s="1">
        <v>2.0</v>
      </c>
      <c r="F31" s="1">
        <v>0.7</v>
      </c>
      <c r="G31" s="1"/>
      <c r="H31" s="8">
        <v>45378.0</v>
      </c>
      <c r="I31" s="4" t="str">
        <f t="shared" si="2"/>
        <v>2024-03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2" t="str">
        <f t="shared" si="1"/>
        <v>20240328-12</v>
      </c>
      <c r="B32" s="1">
        <v>12.0</v>
      </c>
      <c r="C32" s="1"/>
      <c r="D32" s="1">
        <v>3.0</v>
      </c>
      <c r="E32" s="1">
        <v>2.1</v>
      </c>
      <c r="F32" s="1">
        <v>0.7</v>
      </c>
      <c r="G32" s="1"/>
      <c r="H32" s="8">
        <v>45379.0</v>
      </c>
      <c r="I32" s="4" t="str">
        <f t="shared" si="2"/>
        <v>2024-03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" t="str">
        <f t="shared" si="1"/>
        <v>20240329-13,5</v>
      </c>
      <c r="B33" s="1">
        <v>13.5</v>
      </c>
      <c r="C33" s="1"/>
      <c r="D33" s="1">
        <v>3.0</v>
      </c>
      <c r="E33" s="1">
        <v>2.2</v>
      </c>
      <c r="F33" s="1">
        <v>0.6</v>
      </c>
      <c r="G33" s="1"/>
      <c r="H33" s="8">
        <v>45380.0</v>
      </c>
      <c r="I33" s="4" t="str">
        <f t="shared" si="2"/>
        <v>2024-03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2" t="str">
        <f t="shared" si="1"/>
        <v>20240330-11,3</v>
      </c>
      <c r="B34" s="1">
        <v>11.3</v>
      </c>
      <c r="C34" s="1"/>
      <c r="D34" s="1">
        <v>3.8</v>
      </c>
      <c r="E34" s="1">
        <v>2.9</v>
      </c>
      <c r="F34" s="1">
        <v>0.4</v>
      </c>
      <c r="G34" s="1"/>
      <c r="H34" s="8">
        <v>45381.0</v>
      </c>
      <c r="I34" s="4" t="str">
        <f t="shared" si="2"/>
        <v>2024-03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2" t="str">
        <f t="shared" si="1"/>
        <v>20240331-9,5</v>
      </c>
      <c r="B35" s="1">
        <v>9.5</v>
      </c>
      <c r="C35" s="1"/>
      <c r="D35" s="1"/>
      <c r="E35" s="1"/>
      <c r="F35" s="1"/>
      <c r="G35" s="1"/>
      <c r="H35" s="8">
        <v>45382.0</v>
      </c>
      <c r="I35" s="4" t="str">
        <f t="shared" si="2"/>
        <v>2024-03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2" t="str">
        <f t="shared" si="1"/>
        <v>20240401-13,5</v>
      </c>
      <c r="B36" s="1">
        <v>13.5</v>
      </c>
      <c r="C36" s="1"/>
      <c r="D36" s="1">
        <v>3.0</v>
      </c>
      <c r="E36" s="1">
        <v>2.5</v>
      </c>
      <c r="F36" s="1">
        <v>0.8</v>
      </c>
      <c r="G36" s="1"/>
      <c r="H36" s="8">
        <v>45383.0</v>
      </c>
      <c r="I36" s="4" t="str">
        <f t="shared" si="2"/>
        <v>2024-04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2" t="str">
        <f t="shared" si="1"/>
        <v>20240402-12</v>
      </c>
      <c r="B37" s="1">
        <v>12.0</v>
      </c>
      <c r="C37" s="1"/>
      <c r="D37" s="1">
        <v>2.8</v>
      </c>
      <c r="E37" s="1">
        <v>2.0</v>
      </c>
      <c r="F37" s="1">
        <v>0.5</v>
      </c>
      <c r="G37" s="1"/>
      <c r="H37" s="8">
        <v>45384.0</v>
      </c>
      <c r="I37" s="4" t="str">
        <f t="shared" si="2"/>
        <v>2024-04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2" t="str">
        <f t="shared" si="1"/>
        <v>20240403-8,5</v>
      </c>
      <c r="B38" s="1">
        <v>8.5</v>
      </c>
      <c r="C38" s="1"/>
      <c r="D38" s="1">
        <v>2.0</v>
      </c>
      <c r="E38" s="1">
        <v>1.9</v>
      </c>
      <c r="F38" s="1">
        <v>0.3</v>
      </c>
      <c r="G38" s="1"/>
      <c r="H38" s="8">
        <v>45385.0</v>
      </c>
      <c r="I38" s="4" t="str">
        <f t="shared" si="2"/>
        <v>2024-04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2" t="str">
        <f t="shared" si="1"/>
        <v>20240404-7,5</v>
      </c>
      <c r="B39" s="1">
        <v>7.5</v>
      </c>
      <c r="C39" s="1"/>
      <c r="D39" s="1">
        <v>2.0</v>
      </c>
      <c r="E39" s="1">
        <v>1.5</v>
      </c>
      <c r="F39" s="1">
        <v>0.3</v>
      </c>
      <c r="G39" s="1"/>
      <c r="H39" s="8">
        <v>45386.0</v>
      </c>
      <c r="I39" s="4" t="str">
        <f t="shared" si="2"/>
        <v>2024-04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2" t="str">
        <f t="shared" si="1"/>
        <v>20240405-7,5</v>
      </c>
      <c r="B40" s="1">
        <v>7.5</v>
      </c>
      <c r="C40" s="1"/>
      <c r="D40" s="2"/>
      <c r="E40" s="2"/>
      <c r="F40" s="1"/>
      <c r="G40" s="1"/>
      <c r="H40" s="8">
        <v>45387.0</v>
      </c>
      <c r="I40" s="4" t="str">
        <f t="shared" si="2"/>
        <v>2024-04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" t="str">
        <f t="shared" si="1"/>
        <v>20240406-12</v>
      </c>
      <c r="B41" s="1">
        <v>12.0</v>
      </c>
      <c r="C41" s="1"/>
      <c r="D41" s="2"/>
      <c r="E41" s="2"/>
      <c r="F41" s="1"/>
      <c r="G41" s="1"/>
      <c r="H41" s="8">
        <v>45388.0</v>
      </c>
      <c r="I41" s="4" t="str">
        <f t="shared" si="2"/>
        <v>2024-04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2" t="str">
        <f t="shared" si="1"/>
        <v>20240407-13</v>
      </c>
      <c r="B42" s="1">
        <v>13.0</v>
      </c>
      <c r="C42" s="1"/>
      <c r="D42" s="2"/>
      <c r="E42" s="2"/>
      <c r="F42" s="1"/>
      <c r="G42" s="1"/>
      <c r="H42" s="8">
        <v>45389.0</v>
      </c>
      <c r="I42" s="4" t="str">
        <f t="shared" si="2"/>
        <v>2024-04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2" t="str">
        <f t="shared" si="1"/>
        <v>20240408-12,5</v>
      </c>
      <c r="B43" s="1">
        <v>12.5</v>
      </c>
      <c r="C43" s="1"/>
      <c r="D43" s="4"/>
      <c r="E43" s="4"/>
      <c r="F43" s="1"/>
      <c r="G43" s="1"/>
      <c r="H43" s="8">
        <v>45390.0</v>
      </c>
      <c r="I43" s="4" t="str">
        <f t="shared" si="2"/>
        <v>2024-04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2" t="str">
        <f t="shared" si="1"/>
        <v>20240409-11,5</v>
      </c>
      <c r="B44" s="1">
        <v>11.5</v>
      </c>
      <c r="C44" s="1"/>
      <c r="D44" s="1"/>
      <c r="E44" s="1"/>
      <c r="F44" s="1"/>
      <c r="G44" s="1"/>
      <c r="H44" s="8">
        <v>45391.0</v>
      </c>
      <c r="I44" s="4" t="str">
        <f t="shared" si="2"/>
        <v>2024-04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2" t="str">
        <f t="shared" si="1"/>
        <v>20240410-13</v>
      </c>
      <c r="B45" s="1">
        <v>13.0</v>
      </c>
      <c r="C45" s="1"/>
      <c r="D45" s="1"/>
      <c r="E45" s="1"/>
      <c r="F45" s="1"/>
      <c r="G45" s="1"/>
      <c r="H45" s="8">
        <v>45392.0</v>
      </c>
      <c r="I45" s="4" t="str">
        <f t="shared" si="2"/>
        <v>2024-04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2" t="str">
        <f t="shared" si="1"/>
        <v>20240411-11,5</v>
      </c>
      <c r="B46" s="1">
        <v>11.5</v>
      </c>
      <c r="C46" s="1"/>
      <c r="D46" s="2"/>
      <c r="E46" s="2"/>
      <c r="F46" s="1"/>
      <c r="G46" s="1"/>
      <c r="H46" s="8">
        <v>45393.0</v>
      </c>
      <c r="I46" s="4" t="str">
        <f t="shared" si="2"/>
        <v>2024-04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2" t="str">
        <f t="shared" si="1"/>
        <v>20240412-11</v>
      </c>
      <c r="B47" s="1">
        <v>11.0</v>
      </c>
      <c r="C47" s="1"/>
      <c r="D47" s="2"/>
      <c r="E47" s="2"/>
      <c r="F47" s="1"/>
      <c r="G47" s="1"/>
      <c r="H47" s="8">
        <v>45394.0</v>
      </c>
      <c r="I47" s="4" t="str">
        <f t="shared" si="2"/>
        <v>2024-04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" t="str">
        <f t="shared" si="1"/>
        <v>20240413-13,5</v>
      </c>
      <c r="B48" s="1">
        <v>13.5</v>
      </c>
      <c r="C48" s="1"/>
      <c r="D48" s="2"/>
      <c r="E48" s="2"/>
      <c r="F48" s="1"/>
      <c r="G48" s="1"/>
      <c r="H48" s="8">
        <v>45395.0</v>
      </c>
      <c r="I48" s="4" t="str">
        <f t="shared" si="2"/>
        <v>2024-04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" t="str">
        <f t="shared" si="1"/>
        <v>20240414-11</v>
      </c>
      <c r="B49" s="1">
        <v>11.0</v>
      </c>
      <c r="C49" s="1"/>
      <c r="D49" s="2"/>
      <c r="E49" s="2"/>
      <c r="F49" s="1"/>
      <c r="G49" s="1"/>
      <c r="H49" s="8">
        <v>45396.0</v>
      </c>
      <c r="I49" s="4" t="str">
        <f t="shared" si="2"/>
        <v>2024-04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" t="str">
        <f t="shared" si="1"/>
        <v>20240415-12</v>
      </c>
      <c r="B50" s="1">
        <v>12.0</v>
      </c>
      <c r="C50" s="1"/>
      <c r="D50" s="2"/>
      <c r="E50" s="2"/>
      <c r="F50" s="1"/>
      <c r="G50" s="1"/>
      <c r="H50" s="8">
        <v>45397.0</v>
      </c>
      <c r="I50" s="4" t="str">
        <f t="shared" si="2"/>
        <v>2024-04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" t="str">
        <f t="shared" si="1"/>
        <v>20240416-14,2</v>
      </c>
      <c r="B51" s="1">
        <v>14.2</v>
      </c>
      <c r="C51" s="1"/>
      <c r="D51" s="1"/>
      <c r="E51" s="1"/>
      <c r="F51" s="1"/>
      <c r="G51" s="1"/>
      <c r="H51" s="8">
        <v>45398.0</v>
      </c>
      <c r="I51" s="4" t="str">
        <f t="shared" si="2"/>
        <v>2024-04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" t="str">
        <f t="shared" si="1"/>
        <v>20240417-11,1</v>
      </c>
      <c r="B52" s="1">
        <v>11.1</v>
      </c>
      <c r="C52" s="1"/>
      <c r="D52" s="1"/>
      <c r="E52" s="1"/>
      <c r="F52" s="1"/>
      <c r="G52" s="1"/>
      <c r="H52" s="8">
        <v>45399.0</v>
      </c>
      <c r="I52" s="4" t="str">
        <f t="shared" si="2"/>
        <v>2024-04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" t="str">
        <f t="shared" si="1"/>
        <v>20240418-11,7</v>
      </c>
      <c r="B53" s="1">
        <v>11.7</v>
      </c>
      <c r="C53" s="1"/>
      <c r="D53" s="2"/>
      <c r="E53" s="2"/>
      <c r="F53" s="1"/>
      <c r="G53" s="1"/>
      <c r="H53" s="8">
        <v>45400.0</v>
      </c>
      <c r="I53" s="4" t="str">
        <f t="shared" si="2"/>
        <v>2024-04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" t="str">
        <f t="shared" si="1"/>
        <v>20240419-12</v>
      </c>
      <c r="B54" s="1">
        <v>12.0</v>
      </c>
      <c r="C54" s="1"/>
      <c r="D54" s="2"/>
      <c r="E54" s="2"/>
      <c r="F54" s="1"/>
      <c r="G54" s="1"/>
      <c r="H54" s="8">
        <v>45401.0</v>
      </c>
      <c r="I54" s="4" t="str">
        <f t="shared" si="2"/>
        <v>2024-04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" t="str">
        <f t="shared" si="1"/>
        <v>20240420-11</v>
      </c>
      <c r="B55" s="1">
        <v>11.0</v>
      </c>
      <c r="C55" s="1"/>
      <c r="D55" s="2"/>
      <c r="E55" s="2"/>
      <c r="F55" s="1"/>
      <c r="G55" s="1"/>
      <c r="H55" s="8">
        <v>45402.0</v>
      </c>
      <c r="I55" s="4" t="str">
        <f t="shared" si="2"/>
        <v>2024-04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" t="str">
        <f t="shared" si="1"/>
        <v>20240421-11,1</v>
      </c>
      <c r="B56" s="1">
        <v>11.1</v>
      </c>
      <c r="C56" s="1"/>
      <c r="D56" s="2"/>
      <c r="E56" s="2"/>
      <c r="F56" s="1"/>
      <c r="G56" s="1"/>
      <c r="H56" s="8">
        <v>45403.0</v>
      </c>
      <c r="I56" s="4" t="str">
        <f t="shared" si="2"/>
        <v>2024-04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" t="str">
        <f t="shared" si="1"/>
        <v>20240422-11,5</v>
      </c>
      <c r="B57" s="1">
        <v>11.5</v>
      </c>
      <c r="C57" s="1"/>
      <c r="D57" s="2"/>
      <c r="E57" s="2"/>
      <c r="F57" s="1"/>
      <c r="G57" s="1"/>
      <c r="H57" s="8">
        <v>45404.0</v>
      </c>
      <c r="I57" s="4" t="str">
        <f t="shared" si="2"/>
        <v>2024-04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" t="str">
        <f t="shared" si="1"/>
        <v>20240423-11,4</v>
      </c>
      <c r="B58" s="1">
        <v>11.4</v>
      </c>
      <c r="C58" s="1"/>
      <c r="D58" s="4"/>
      <c r="E58" s="4"/>
      <c r="F58" s="1"/>
      <c r="G58" s="1"/>
      <c r="H58" s="8">
        <v>45405.0</v>
      </c>
      <c r="I58" s="4" t="str">
        <f t="shared" si="2"/>
        <v>2024-04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2" t="str">
        <f t="shared" si="1"/>
        <v>20240424-10,5</v>
      </c>
      <c r="B59" s="1">
        <v>10.5</v>
      </c>
      <c r="C59" s="1"/>
      <c r="D59" s="1"/>
      <c r="E59" s="1"/>
      <c r="F59" s="1"/>
      <c r="G59" s="1"/>
      <c r="H59" s="8">
        <v>45406.0</v>
      </c>
      <c r="I59" s="4" t="str">
        <f t="shared" si="2"/>
        <v>2024-04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" t="str">
        <f t="shared" si="1"/>
        <v>20240425-10,8</v>
      </c>
      <c r="B60" s="1">
        <v>10.8</v>
      </c>
      <c r="C60" s="1"/>
      <c r="D60" s="1"/>
      <c r="E60" s="1"/>
      <c r="F60" s="1"/>
      <c r="G60" s="1"/>
      <c r="H60" s="8">
        <v>45407.0</v>
      </c>
      <c r="I60" s="4" t="str">
        <f t="shared" si="2"/>
        <v>2024-04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2" t="str">
        <f t="shared" si="1"/>
        <v>20240426-11,5</v>
      </c>
      <c r="B61" s="1">
        <v>11.5</v>
      </c>
      <c r="C61" s="1"/>
      <c r="D61" s="2"/>
      <c r="E61" s="2"/>
      <c r="F61" s="1"/>
      <c r="G61" s="1"/>
      <c r="H61" s="8">
        <v>45408.0</v>
      </c>
      <c r="I61" s="4" t="str">
        <f t="shared" si="2"/>
        <v>2024-04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2" t="str">
        <f t="shared" si="1"/>
        <v>20240427-11,5</v>
      </c>
      <c r="B62" s="1">
        <v>11.5</v>
      </c>
      <c r="C62" s="1"/>
      <c r="D62" s="2"/>
      <c r="E62" s="2"/>
      <c r="F62" s="1"/>
      <c r="G62" s="1"/>
      <c r="H62" s="8">
        <v>45409.0</v>
      </c>
      <c r="I62" s="4" t="str">
        <f t="shared" si="2"/>
        <v>2024-04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2" t="str">
        <f t="shared" si="1"/>
        <v>20240428-11,9</v>
      </c>
      <c r="B63" s="1">
        <v>11.9</v>
      </c>
      <c r="C63" s="1"/>
      <c r="D63" s="2"/>
      <c r="E63" s="2"/>
      <c r="F63" s="1"/>
      <c r="G63" s="1"/>
      <c r="H63" s="8">
        <v>45410.0</v>
      </c>
      <c r="I63" s="4" t="str">
        <f t="shared" si="2"/>
        <v>2024-04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2" t="str">
        <f t="shared" si="1"/>
        <v>20240429-11,5</v>
      </c>
      <c r="B64" s="1">
        <v>11.5</v>
      </c>
      <c r="C64" s="1"/>
      <c r="D64" s="2"/>
      <c r="E64" s="2"/>
      <c r="F64" s="1"/>
      <c r="G64" s="1"/>
      <c r="H64" s="8">
        <v>45411.0</v>
      </c>
      <c r="I64" s="4" t="str">
        <f t="shared" si="2"/>
        <v>2024-04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2" t="str">
        <f t="shared" si="1"/>
        <v>20240430-12,8</v>
      </c>
      <c r="B65" s="1">
        <v>12.8</v>
      </c>
      <c r="C65" s="1"/>
      <c r="D65" s="2"/>
      <c r="E65" s="2"/>
      <c r="F65" s="1"/>
      <c r="G65" s="1"/>
      <c r="H65" s="8">
        <v>45412.0</v>
      </c>
      <c r="I65" s="4" t="str">
        <f t="shared" si="2"/>
        <v>2024-04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2" t="str">
        <f t="shared" si="1"/>
        <v>20240501-12</v>
      </c>
      <c r="B66" s="1">
        <v>12.0</v>
      </c>
      <c r="C66" s="1"/>
      <c r="D66" s="1"/>
      <c r="E66" s="1"/>
      <c r="F66" s="1"/>
      <c r="G66" s="1"/>
      <c r="H66" s="8">
        <v>45413.0</v>
      </c>
      <c r="I66" s="4" t="str">
        <f t="shared" si="2"/>
        <v>2024-05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2" t="str">
        <f t="shared" si="1"/>
        <v>20240502-8,1</v>
      </c>
      <c r="B67" s="1">
        <v>8.1</v>
      </c>
      <c r="C67" s="1"/>
      <c r="D67" s="1"/>
      <c r="E67" s="1"/>
      <c r="F67" s="1"/>
      <c r="G67" s="1"/>
      <c r="H67" s="8">
        <v>45414.0</v>
      </c>
      <c r="I67" s="4" t="str">
        <f t="shared" si="2"/>
        <v>2024-05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2" t="str">
        <f t="shared" si="1"/>
        <v>20240503-11</v>
      </c>
      <c r="B68" s="1">
        <v>11.0</v>
      </c>
      <c r="C68" s="1"/>
      <c r="D68" s="2"/>
      <c r="E68" s="2"/>
      <c r="F68" s="1"/>
      <c r="G68" s="1"/>
      <c r="H68" s="8">
        <v>45415.0</v>
      </c>
      <c r="I68" s="4" t="str">
        <f t="shared" si="2"/>
        <v>2024-05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2" t="str">
        <f t="shared" si="1"/>
        <v>20240504-14</v>
      </c>
      <c r="B69" s="1">
        <v>14.0</v>
      </c>
      <c r="C69" s="1"/>
      <c r="D69" s="2"/>
      <c r="E69" s="2"/>
      <c r="F69" s="1"/>
      <c r="G69" s="1"/>
      <c r="H69" s="8">
        <v>45416.0</v>
      </c>
      <c r="I69" s="4" t="str">
        <f t="shared" si="2"/>
        <v>2024-05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2" t="str">
        <f t="shared" si="1"/>
        <v>20240505-9,4</v>
      </c>
      <c r="B70" s="1">
        <v>9.4</v>
      </c>
      <c r="C70" s="1"/>
      <c r="D70" s="2"/>
      <c r="E70" s="2"/>
      <c r="F70" s="1"/>
      <c r="G70" s="1"/>
      <c r="H70" s="8">
        <v>45417.0</v>
      </c>
      <c r="I70" s="4" t="str">
        <f t="shared" si="2"/>
        <v>2024-05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2" t="str">
        <f t="shared" si="1"/>
        <v>20240506-9</v>
      </c>
      <c r="B71" s="1">
        <v>9.0</v>
      </c>
      <c r="C71" s="1"/>
      <c r="D71" s="2"/>
      <c r="E71" s="2"/>
      <c r="F71" s="1"/>
      <c r="G71" s="1"/>
      <c r="H71" s="8">
        <v>45418.0</v>
      </c>
      <c r="I71" s="4" t="str">
        <f t="shared" si="2"/>
        <v>2024-05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2" t="str">
        <f t="shared" si="1"/>
        <v>20240507-11,3</v>
      </c>
      <c r="B72" s="1">
        <v>11.3</v>
      </c>
      <c r="C72" s="1"/>
      <c r="D72" s="2"/>
      <c r="E72" s="2"/>
      <c r="F72" s="1"/>
      <c r="G72" s="1"/>
      <c r="H72" s="8">
        <v>45419.0</v>
      </c>
      <c r="I72" s="4" t="str">
        <f t="shared" si="2"/>
        <v>2024-05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2" t="str">
        <f t="shared" si="1"/>
        <v>20240508-10,5</v>
      </c>
      <c r="B73" s="1">
        <v>10.5</v>
      </c>
      <c r="C73" s="1"/>
      <c r="D73" s="4"/>
      <c r="E73" s="4"/>
      <c r="F73" s="1"/>
      <c r="G73" s="1"/>
      <c r="H73" s="8">
        <v>45420.0</v>
      </c>
      <c r="I73" s="4" t="str">
        <f t="shared" si="2"/>
        <v>2024-05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2" t="str">
        <f t="shared" si="1"/>
        <v>20240509-11,5</v>
      </c>
      <c r="B74" s="1">
        <v>11.5</v>
      </c>
      <c r="C74" s="1"/>
      <c r="D74" s="1"/>
      <c r="E74" s="1"/>
      <c r="F74" s="1"/>
      <c r="G74" s="1"/>
      <c r="H74" s="8">
        <v>45421.0</v>
      </c>
      <c r="I74" s="4" t="str">
        <f t="shared" si="2"/>
        <v>2024-05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2" t="str">
        <f t="shared" si="1"/>
        <v>20240510-11,4</v>
      </c>
      <c r="B75" s="1">
        <v>11.4</v>
      </c>
      <c r="C75" s="1"/>
      <c r="D75" s="1"/>
      <c r="E75" s="1"/>
      <c r="F75" s="1"/>
      <c r="G75" s="1"/>
      <c r="H75" s="8">
        <v>45422.0</v>
      </c>
      <c r="I75" s="4" t="str">
        <f t="shared" si="2"/>
        <v>2024-05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2" t="str">
        <f t="shared" si="1"/>
        <v>20240511-12,1</v>
      </c>
      <c r="B76" s="1">
        <v>12.1</v>
      </c>
      <c r="C76" s="1"/>
      <c r="D76" s="2"/>
      <c r="E76" s="2"/>
      <c r="F76" s="1"/>
      <c r="G76" s="1"/>
      <c r="H76" s="8">
        <v>45423.0</v>
      </c>
      <c r="I76" s="4" t="str">
        <f t="shared" si="2"/>
        <v>2024-05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2" t="str">
        <f t="shared" si="1"/>
        <v>20240512-11,3</v>
      </c>
      <c r="B77" s="1">
        <v>11.3</v>
      </c>
      <c r="C77" s="1"/>
      <c r="D77" s="2"/>
      <c r="E77" s="2"/>
      <c r="F77" s="1"/>
      <c r="G77" s="1"/>
      <c r="H77" s="8">
        <v>45424.0</v>
      </c>
      <c r="I77" s="4" t="str">
        <f t="shared" si="2"/>
        <v>2024-05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2" t="str">
        <f t="shared" si="1"/>
        <v>20240513-13,5</v>
      </c>
      <c r="B78" s="1">
        <v>13.5</v>
      </c>
      <c r="C78" s="1"/>
      <c r="D78" s="2"/>
      <c r="E78" s="2"/>
      <c r="F78" s="1"/>
      <c r="G78" s="1"/>
      <c r="H78" s="8">
        <v>45425.0</v>
      </c>
      <c r="I78" s="4" t="str">
        <f t="shared" si="2"/>
        <v>2024-05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2" t="str">
        <f t="shared" si="1"/>
        <v>20240514-11,9</v>
      </c>
      <c r="B79" s="1">
        <v>11.9</v>
      </c>
      <c r="C79" s="1"/>
      <c r="D79" s="2"/>
      <c r="E79" s="2"/>
      <c r="F79" s="1"/>
      <c r="G79" s="1"/>
      <c r="H79" s="8">
        <v>45426.0</v>
      </c>
      <c r="I79" s="4" t="str">
        <f t="shared" si="2"/>
        <v>2024-05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2" t="str">
        <f t="shared" si="1"/>
        <v>20240515-11,4</v>
      </c>
      <c r="B80" s="1">
        <v>11.4</v>
      </c>
      <c r="C80" s="1"/>
      <c r="D80" s="2"/>
      <c r="E80" s="2"/>
      <c r="F80" s="1"/>
      <c r="G80" s="1"/>
      <c r="H80" s="8">
        <v>45427.0</v>
      </c>
      <c r="I80" s="4" t="str">
        <f t="shared" si="2"/>
        <v>2024-05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C81" s="5"/>
      <c r="D81" s="5"/>
      <c r="E81" s="5"/>
      <c r="F81" s="5"/>
      <c r="G81" s="5"/>
      <c r="H81" s="9"/>
      <c r="I81" s="1"/>
      <c r="J81" s="1"/>
    </row>
    <row r="82" ht="15.75" customHeight="1">
      <c r="C82" s="5"/>
      <c r="D82" s="5"/>
      <c r="E82" s="5"/>
      <c r="F82" s="5"/>
      <c r="G82" s="5"/>
      <c r="H82" s="9"/>
      <c r="I82" s="1"/>
      <c r="J82" s="1"/>
    </row>
    <row r="83" ht="15.75" customHeight="1">
      <c r="C83" s="5"/>
      <c r="D83" s="5"/>
      <c r="E83" s="5"/>
      <c r="F83" s="5"/>
      <c r="G83" s="5"/>
      <c r="H83" s="9"/>
    </row>
    <row r="84" ht="15.75" customHeight="1">
      <c r="C84" s="5"/>
      <c r="D84" s="5"/>
      <c r="E84" s="5"/>
      <c r="F84" s="5"/>
      <c r="G84" s="5"/>
      <c r="H84" s="9"/>
    </row>
    <row r="85" ht="15.75" customHeight="1">
      <c r="C85" s="5"/>
      <c r="D85" s="5"/>
      <c r="E85" s="5"/>
      <c r="F85" s="5"/>
      <c r="H85" s="9"/>
    </row>
    <row r="86" ht="15.75" customHeight="1">
      <c r="C86" s="5"/>
      <c r="D86" s="5"/>
      <c r="E86" s="5"/>
      <c r="F86" s="5"/>
      <c r="H86" s="9"/>
    </row>
    <row r="87" ht="15.75" customHeight="1">
      <c r="C87" s="5"/>
      <c r="D87" s="5"/>
      <c r="E87" s="5"/>
      <c r="F87" s="5"/>
      <c r="H87" s="9"/>
    </row>
    <row r="88" ht="15.75" customHeight="1">
      <c r="C88" s="5"/>
      <c r="D88" s="5"/>
      <c r="E88" s="5"/>
      <c r="F88" s="5"/>
      <c r="H88" s="9"/>
    </row>
    <row r="89" ht="15.75" customHeight="1">
      <c r="H89" s="9"/>
    </row>
    <row r="90" ht="15.75" customHeight="1">
      <c r="H90" s="9"/>
    </row>
    <row r="91" ht="15.75" customHeight="1">
      <c r="H91" s="9"/>
    </row>
    <row r="92" ht="15.75" customHeight="1">
      <c r="H92" s="9"/>
    </row>
    <row r="93" ht="15.75" customHeight="1">
      <c r="H93" s="9"/>
    </row>
    <row r="94" ht="15.75" customHeight="1">
      <c r="H94" s="9"/>
    </row>
    <row r="95" ht="15.75" customHeight="1">
      <c r="H95" s="9"/>
    </row>
    <row r="96" ht="15.75" customHeight="1">
      <c r="H96" s="9"/>
    </row>
    <row r="97" ht="15.75" customHeight="1">
      <c r="H97" s="9"/>
    </row>
    <row r="98" ht="15.75" customHeight="1">
      <c r="H98" s="9"/>
    </row>
    <row r="99" ht="15.75" customHeight="1">
      <c r="H99" s="9"/>
    </row>
    <row r="100" ht="15.75" customHeight="1">
      <c r="H100" s="9"/>
    </row>
    <row r="101" ht="15.75" customHeight="1">
      <c r="H101" s="9"/>
    </row>
    <row r="102" ht="15.75" customHeight="1">
      <c r="H102" s="9"/>
    </row>
    <row r="103" ht="15.75" customHeight="1">
      <c r="H103" s="9"/>
    </row>
    <row r="104" ht="15.75" customHeight="1">
      <c r="H104" s="9"/>
    </row>
    <row r="105" ht="15.75" customHeight="1">
      <c r="H105" s="9"/>
    </row>
    <row r="106" ht="15.75" customHeight="1">
      <c r="H106" s="9"/>
    </row>
    <row r="107" ht="15.75" customHeight="1">
      <c r="H107" s="9"/>
    </row>
    <row r="108" ht="15.75" customHeight="1">
      <c r="H108" s="9"/>
    </row>
    <row r="109" ht="15.75" customHeight="1">
      <c r="H109" s="9"/>
    </row>
    <row r="110" ht="15.75" customHeight="1">
      <c r="H110" s="9"/>
    </row>
    <row r="111" ht="15.75" customHeight="1">
      <c r="H111" s="9"/>
    </row>
    <row r="112" ht="15.75" customHeight="1">
      <c r="H112" s="9"/>
    </row>
    <row r="113" ht="15.75" customHeight="1">
      <c r="H113" s="9"/>
    </row>
    <row r="114" ht="15.75" customHeight="1">
      <c r="H114" s="9"/>
    </row>
    <row r="115" ht="15.75" customHeight="1">
      <c r="H115" s="9"/>
    </row>
    <row r="116" ht="15.75" customHeight="1">
      <c r="H116" s="9"/>
    </row>
    <row r="117" ht="15.75" customHeight="1">
      <c r="H117" s="9"/>
    </row>
    <row r="118" ht="15.75" customHeight="1">
      <c r="H118" s="9"/>
    </row>
    <row r="119" ht="15.75" customHeight="1">
      <c r="H119" s="9"/>
    </row>
    <row r="120" ht="15.75" customHeight="1">
      <c r="H120" s="9"/>
    </row>
    <row r="121" ht="15.75" customHeight="1">
      <c r="H121" s="9"/>
    </row>
    <row r="122" ht="15.75" customHeight="1">
      <c r="H122" s="9"/>
    </row>
    <row r="123" ht="15.75" customHeight="1">
      <c r="H123" s="9"/>
    </row>
    <row r="124" ht="15.75" customHeight="1">
      <c r="H124" s="9"/>
    </row>
    <row r="125" ht="15.75" customHeight="1">
      <c r="H125" s="9"/>
    </row>
    <row r="126" ht="15.75" customHeight="1">
      <c r="H126" s="9"/>
    </row>
    <row r="127" ht="15.75" customHeight="1">
      <c r="H127" s="9"/>
    </row>
    <row r="128" ht="15.75" customHeight="1">
      <c r="H128" s="9"/>
    </row>
    <row r="129" ht="15.75" customHeight="1">
      <c r="H129" s="9"/>
    </row>
    <row r="130" ht="15.75" customHeight="1">
      <c r="H130" s="9"/>
    </row>
    <row r="131" ht="15.75" customHeight="1">
      <c r="H131" s="9"/>
    </row>
    <row r="132" ht="15.75" customHeight="1">
      <c r="H132" s="9"/>
    </row>
    <row r="133" ht="15.75" customHeight="1">
      <c r="H133" s="9"/>
    </row>
    <row r="134" ht="15.75" customHeight="1">
      <c r="H134" s="9"/>
    </row>
    <row r="135" ht="15.75" customHeight="1">
      <c r="H135" s="9"/>
    </row>
    <row r="136" ht="15.75" customHeight="1">
      <c r="H136" s="9"/>
    </row>
    <row r="137" ht="15.75" customHeight="1">
      <c r="H137" s="9"/>
    </row>
    <row r="138" ht="15.75" customHeight="1">
      <c r="H138" s="9"/>
    </row>
    <row r="139" ht="15.75" customHeight="1">
      <c r="H139" s="9"/>
    </row>
    <row r="140" ht="15.75" customHeight="1">
      <c r="H140" s="9"/>
    </row>
    <row r="141" ht="15.75" customHeight="1">
      <c r="H141" s="9"/>
    </row>
    <row r="142" ht="15.75" customHeight="1">
      <c r="H142" s="9"/>
    </row>
    <row r="143" ht="15.75" customHeight="1">
      <c r="H143" s="9"/>
    </row>
    <row r="144" ht="15.75" customHeight="1">
      <c r="H144" s="9"/>
    </row>
    <row r="145" ht="15.75" customHeight="1">
      <c r="H145" s="9"/>
    </row>
    <row r="146" ht="15.75" customHeight="1">
      <c r="H146" s="9"/>
    </row>
    <row r="147" ht="15.75" customHeight="1">
      <c r="H147" s="9"/>
    </row>
    <row r="148" ht="15.75" customHeight="1">
      <c r="H148" s="9"/>
    </row>
    <row r="149" ht="15.75" customHeight="1">
      <c r="H149" s="9"/>
    </row>
    <row r="150" ht="15.75" customHeight="1">
      <c r="H150" s="9"/>
    </row>
    <row r="151" ht="15.75" customHeight="1">
      <c r="H151" s="9"/>
    </row>
    <row r="152" ht="15.75" customHeight="1">
      <c r="H152" s="9"/>
    </row>
    <row r="153" ht="15.75" customHeight="1">
      <c r="H153" s="9"/>
    </row>
    <row r="154" ht="15.75" customHeight="1">
      <c r="H154" s="9"/>
    </row>
    <row r="155" ht="15.75" customHeight="1">
      <c r="H155" s="9"/>
    </row>
    <row r="156" ht="15.75" customHeight="1">
      <c r="H156" s="9"/>
    </row>
    <row r="157" ht="15.75" customHeight="1">
      <c r="H157" s="9"/>
    </row>
    <row r="158" ht="15.75" customHeight="1">
      <c r="H158" s="9"/>
    </row>
    <row r="159" ht="15.75" customHeight="1">
      <c r="H159" s="9"/>
    </row>
    <row r="160" ht="15.75" customHeight="1">
      <c r="H160" s="9"/>
    </row>
    <row r="161" ht="15.75" customHeight="1">
      <c r="H161" s="9"/>
    </row>
    <row r="162" ht="15.75" customHeight="1">
      <c r="H162" s="9"/>
    </row>
    <row r="163" ht="15.75" customHeight="1">
      <c r="H163" s="9"/>
    </row>
    <row r="164" ht="15.75" customHeight="1">
      <c r="H164" s="9"/>
    </row>
    <row r="165" ht="15.75" customHeight="1">
      <c r="H165" s="9"/>
    </row>
    <row r="166" ht="15.75" customHeight="1">
      <c r="H166" s="9"/>
    </row>
    <row r="167" ht="15.75" customHeight="1">
      <c r="H167" s="9"/>
    </row>
    <row r="168" ht="15.75" customHeight="1">
      <c r="H168" s="9"/>
    </row>
    <row r="169" ht="15.75" customHeight="1">
      <c r="H169" s="9"/>
    </row>
    <row r="170" ht="15.75" customHeight="1">
      <c r="H170" s="9"/>
    </row>
    <row r="171" ht="15.75" customHeight="1">
      <c r="H171" s="9"/>
    </row>
    <row r="172" ht="15.75" customHeight="1">
      <c r="H172" s="9"/>
    </row>
    <row r="173" ht="15.75" customHeight="1">
      <c r="H173" s="9"/>
    </row>
    <row r="174" ht="15.75" customHeight="1">
      <c r="H174" s="9"/>
    </row>
    <row r="175" ht="15.75" customHeight="1">
      <c r="H175" s="9"/>
    </row>
    <row r="176" ht="15.75" customHeight="1">
      <c r="H176" s="9"/>
    </row>
    <row r="177" ht="15.75" customHeight="1">
      <c r="H177" s="9"/>
    </row>
    <row r="178" ht="15.75" customHeight="1">
      <c r="H178" s="9"/>
    </row>
    <row r="179" ht="15.75" customHeight="1">
      <c r="H179" s="9"/>
    </row>
    <row r="180" ht="15.75" customHeight="1">
      <c r="H180" s="9"/>
    </row>
    <row r="181" ht="15.75" customHeight="1">
      <c r="H181" s="9"/>
    </row>
    <row r="182" ht="15.75" customHeight="1">
      <c r="H182" s="9"/>
    </row>
    <row r="183" ht="15.75" customHeight="1">
      <c r="H183" s="9"/>
    </row>
    <row r="184" ht="15.75" customHeight="1">
      <c r="H184" s="9"/>
    </row>
    <row r="185" ht="15.75" customHeight="1">
      <c r="H185" s="9"/>
    </row>
    <row r="186" ht="15.75" customHeight="1">
      <c r="H186" s="9"/>
    </row>
    <row r="187" ht="15.75" customHeight="1">
      <c r="H187" s="9"/>
    </row>
    <row r="188" ht="15.75" customHeight="1">
      <c r="H188" s="9"/>
    </row>
    <row r="189" ht="15.75" customHeight="1">
      <c r="H189" s="9"/>
    </row>
    <row r="190" ht="15.75" customHeight="1">
      <c r="H190" s="9"/>
    </row>
    <row r="191" ht="15.75" customHeight="1">
      <c r="H191" s="9"/>
    </row>
    <row r="192" ht="15.75" customHeight="1">
      <c r="H192" s="9"/>
    </row>
    <row r="193" ht="15.75" customHeight="1">
      <c r="H193" s="9"/>
    </row>
    <row r="194" ht="15.75" customHeight="1">
      <c r="H194" s="9"/>
    </row>
    <row r="195" ht="15.75" customHeight="1">
      <c r="H195" s="9"/>
    </row>
    <row r="196" ht="15.75" customHeight="1">
      <c r="H196" s="9"/>
    </row>
    <row r="197" ht="15.75" customHeight="1">
      <c r="H197" s="9"/>
    </row>
    <row r="198" ht="15.75" customHeight="1">
      <c r="H198" s="9"/>
    </row>
    <row r="199" ht="15.75" customHeight="1">
      <c r="H199" s="9"/>
    </row>
    <row r="200" ht="15.75" customHeight="1">
      <c r="H200" s="9"/>
    </row>
    <row r="201" ht="15.75" customHeight="1">
      <c r="H201" s="9"/>
    </row>
    <row r="202" ht="15.75" customHeight="1">
      <c r="H202" s="9"/>
    </row>
    <row r="203" ht="15.75" customHeight="1">
      <c r="H203" s="9"/>
    </row>
    <row r="204" ht="15.75" customHeight="1">
      <c r="H204" s="9"/>
    </row>
    <row r="205" ht="15.75" customHeight="1">
      <c r="H205" s="9"/>
    </row>
    <row r="206" ht="15.75" customHeight="1">
      <c r="H206" s="9"/>
    </row>
    <row r="207" ht="15.75" customHeight="1">
      <c r="H207" s="9"/>
    </row>
    <row r="208" ht="15.75" customHeight="1">
      <c r="H208" s="9"/>
    </row>
    <row r="209" ht="15.75" customHeight="1">
      <c r="H209" s="9"/>
    </row>
    <row r="210" ht="15.75" customHeight="1">
      <c r="H210" s="9"/>
    </row>
    <row r="211" ht="15.75" customHeight="1">
      <c r="H211" s="9"/>
    </row>
    <row r="212" ht="15.75" customHeight="1">
      <c r="H212" s="9"/>
    </row>
    <row r="213" ht="15.75" customHeight="1">
      <c r="H213" s="9"/>
    </row>
    <row r="214" ht="15.75" customHeight="1">
      <c r="H214" s="9"/>
    </row>
    <row r="215" ht="15.75" customHeight="1">
      <c r="H215" s="9"/>
    </row>
    <row r="216" ht="15.75" customHeight="1">
      <c r="H216" s="9"/>
    </row>
    <row r="217" ht="15.75" customHeight="1">
      <c r="H217" s="9"/>
    </row>
    <row r="218" ht="15.75" customHeight="1">
      <c r="H218" s="9"/>
    </row>
    <row r="219" ht="15.75" customHeight="1">
      <c r="H219" s="9"/>
    </row>
    <row r="220" ht="15.75" customHeight="1">
      <c r="H220" s="9"/>
    </row>
    <row r="221" ht="15.75" customHeight="1">
      <c r="H221" s="9"/>
    </row>
    <row r="222" ht="15.75" customHeight="1">
      <c r="H222" s="9"/>
    </row>
    <row r="223" ht="15.75" customHeight="1">
      <c r="H223" s="9"/>
    </row>
    <row r="224" ht="15.75" customHeight="1">
      <c r="H224" s="9"/>
    </row>
    <row r="225" ht="15.75" customHeight="1">
      <c r="H225" s="9"/>
    </row>
    <row r="226" ht="15.75" customHeight="1">
      <c r="H226" s="9"/>
    </row>
    <row r="227" ht="15.75" customHeight="1">
      <c r="H227" s="9"/>
    </row>
    <row r="228" ht="15.75" customHeight="1">
      <c r="H228" s="9"/>
    </row>
    <row r="229" ht="15.75" customHeight="1">
      <c r="H229" s="9"/>
    </row>
    <row r="230" ht="15.75" customHeight="1">
      <c r="H230" s="9"/>
    </row>
    <row r="231" ht="15.75" customHeight="1">
      <c r="H231" s="9"/>
    </row>
    <row r="232" ht="15.75" customHeight="1">
      <c r="H232" s="9"/>
    </row>
    <row r="233" ht="15.75" customHeight="1">
      <c r="H233" s="9"/>
    </row>
    <row r="234" ht="15.75" customHeight="1">
      <c r="H234" s="9"/>
    </row>
    <row r="235" ht="15.75" customHeight="1">
      <c r="H235" s="9"/>
    </row>
    <row r="236" ht="15.75" customHeight="1">
      <c r="H236" s="9"/>
    </row>
    <row r="237" ht="15.75" customHeight="1">
      <c r="H237" s="9"/>
    </row>
    <row r="238" ht="15.75" customHeight="1">
      <c r="H238" s="9"/>
    </row>
    <row r="239" ht="15.75" customHeight="1">
      <c r="H239" s="9"/>
    </row>
    <row r="240" ht="15.75" customHeight="1">
      <c r="H240" s="9"/>
    </row>
    <row r="241" ht="15.75" customHeight="1">
      <c r="H241" s="9"/>
    </row>
    <row r="242" ht="15.75" customHeight="1">
      <c r="H242" s="9"/>
    </row>
    <row r="243" ht="15.75" customHeight="1">
      <c r="H243" s="9"/>
    </row>
    <row r="244" ht="15.75" customHeight="1">
      <c r="H244" s="9"/>
    </row>
    <row r="245" ht="15.75" customHeight="1">
      <c r="H245" s="9"/>
    </row>
    <row r="246" ht="15.75" customHeight="1">
      <c r="H246" s="9"/>
    </row>
    <row r="247" ht="15.75" customHeight="1">
      <c r="H247" s="9"/>
    </row>
    <row r="248" ht="15.75" customHeight="1">
      <c r="H248" s="9"/>
    </row>
    <row r="249" ht="15.75" customHeight="1">
      <c r="H249" s="9"/>
    </row>
    <row r="250" ht="15.75" customHeight="1">
      <c r="H250" s="9"/>
    </row>
    <row r="251" ht="15.75" customHeight="1">
      <c r="H251" s="9"/>
    </row>
    <row r="252" ht="15.75" customHeight="1">
      <c r="H252" s="9"/>
    </row>
    <row r="253" ht="15.75" customHeight="1">
      <c r="H253" s="9"/>
    </row>
    <row r="254" ht="15.75" customHeight="1">
      <c r="H254" s="9"/>
    </row>
    <row r="255" ht="15.75" customHeight="1">
      <c r="H255" s="9"/>
    </row>
    <row r="256" ht="15.75" customHeight="1">
      <c r="H256" s="9"/>
    </row>
    <row r="257" ht="15.75" customHeight="1">
      <c r="H257" s="9"/>
    </row>
    <row r="258" ht="15.75" customHeight="1">
      <c r="H258" s="9"/>
    </row>
    <row r="259" ht="15.75" customHeight="1">
      <c r="H259" s="9"/>
    </row>
    <row r="260" ht="15.75" customHeight="1">
      <c r="H260" s="9"/>
    </row>
    <row r="261" ht="15.75" customHeight="1">
      <c r="H261" s="9"/>
    </row>
    <row r="262" ht="15.75" customHeight="1">
      <c r="H262" s="9"/>
    </row>
    <row r="263" ht="15.75" customHeight="1">
      <c r="H263" s="9"/>
    </row>
    <row r="264" ht="15.75" customHeight="1">
      <c r="H264" s="9"/>
    </row>
    <row r="265" ht="15.75" customHeight="1">
      <c r="H265" s="9"/>
    </row>
    <row r="266" ht="15.75" customHeight="1">
      <c r="H266" s="9"/>
    </row>
    <row r="267" ht="15.75" customHeight="1">
      <c r="H267" s="9"/>
    </row>
    <row r="268" ht="15.75" customHeight="1">
      <c r="H268" s="9"/>
    </row>
    <row r="269" ht="15.75" customHeight="1">
      <c r="H269" s="9"/>
    </row>
    <row r="270" ht="15.75" customHeight="1">
      <c r="H270" s="9"/>
    </row>
    <row r="271" ht="15.75" customHeight="1">
      <c r="H271" s="9"/>
    </row>
    <row r="272" ht="15.75" customHeight="1">
      <c r="H272" s="9"/>
    </row>
    <row r="273" ht="15.75" customHeight="1">
      <c r="H273" s="9"/>
    </row>
    <row r="274" ht="15.75" customHeight="1">
      <c r="H274" s="9"/>
    </row>
    <row r="275" ht="15.75" customHeight="1">
      <c r="H275" s="9"/>
    </row>
    <row r="276" ht="15.75" customHeight="1">
      <c r="H276" s="9"/>
    </row>
    <row r="277" ht="15.75" customHeight="1">
      <c r="H277" s="9"/>
    </row>
    <row r="278" ht="15.75" customHeight="1">
      <c r="H278" s="9"/>
    </row>
    <row r="279" ht="15.75" customHeight="1">
      <c r="H279" s="9"/>
    </row>
    <row r="280" ht="15.75" customHeight="1">
      <c r="H280" s="9"/>
    </row>
    <row r="281" ht="15.75" customHeight="1">
      <c r="H281" s="9"/>
    </row>
    <row r="282" ht="15.75" customHeight="1">
      <c r="H282" s="9"/>
    </row>
    <row r="283" ht="15.75" customHeight="1">
      <c r="H283" s="9"/>
    </row>
    <row r="284" ht="15.75" customHeight="1">
      <c r="H284" s="9"/>
    </row>
    <row r="285" ht="15.75" customHeight="1">
      <c r="H285" s="9"/>
    </row>
    <row r="286" ht="15.75" customHeight="1">
      <c r="H286" s="9"/>
    </row>
    <row r="287" ht="15.75" customHeight="1">
      <c r="H287" s="9"/>
    </row>
    <row r="288" ht="15.75" customHeight="1">
      <c r="H288" s="9"/>
    </row>
    <row r="289" ht="15.75" customHeight="1">
      <c r="H289" s="9"/>
    </row>
    <row r="290" ht="15.75" customHeight="1">
      <c r="H290" s="9"/>
    </row>
    <row r="291" ht="15.75" customHeight="1">
      <c r="H291" s="9"/>
    </row>
    <row r="292" ht="15.75" customHeight="1">
      <c r="H292" s="9"/>
    </row>
    <row r="293" ht="15.75" customHeight="1">
      <c r="H293" s="9"/>
    </row>
    <row r="294" ht="15.75" customHeight="1">
      <c r="H294" s="9"/>
    </row>
    <row r="295" ht="15.75" customHeight="1">
      <c r="H295" s="9"/>
    </row>
    <row r="296" ht="15.75" customHeight="1">
      <c r="H296" s="9"/>
    </row>
    <row r="297" ht="15.75" customHeight="1">
      <c r="H297" s="9"/>
    </row>
    <row r="298" ht="15.75" customHeight="1">
      <c r="H298" s="9"/>
    </row>
    <row r="299" ht="15.75" customHeight="1">
      <c r="H299" s="9"/>
    </row>
    <row r="300" ht="15.75" customHeight="1">
      <c r="H300" s="9"/>
    </row>
    <row r="301" ht="15.75" customHeight="1">
      <c r="H301" s="9"/>
    </row>
    <row r="302" ht="15.75" customHeight="1">
      <c r="H302" s="9"/>
    </row>
    <row r="303" ht="15.75" customHeight="1">
      <c r="H303" s="9"/>
    </row>
    <row r="304" ht="15.75" customHeight="1">
      <c r="H304" s="9"/>
    </row>
    <row r="305" ht="15.75" customHeight="1">
      <c r="H305" s="9"/>
    </row>
    <row r="306" ht="15.75" customHeight="1">
      <c r="H306" s="9"/>
    </row>
    <row r="307" ht="15.75" customHeight="1">
      <c r="H307" s="9"/>
    </row>
    <row r="308" ht="15.75" customHeight="1">
      <c r="H308" s="9"/>
    </row>
    <row r="309" ht="15.75" customHeight="1">
      <c r="H309" s="9"/>
    </row>
    <row r="310" ht="15.75" customHeight="1">
      <c r="H310" s="9"/>
    </row>
    <row r="311" ht="15.75" customHeight="1">
      <c r="H311" s="9"/>
    </row>
    <row r="312" ht="15.75" customHeight="1">
      <c r="H312" s="9"/>
    </row>
    <row r="313" ht="15.75" customHeight="1">
      <c r="H313" s="9"/>
    </row>
    <row r="314" ht="15.75" customHeight="1">
      <c r="H314" s="9"/>
    </row>
    <row r="315" ht="15.75" customHeight="1">
      <c r="H315" s="9"/>
    </row>
    <row r="316" ht="15.75" customHeight="1">
      <c r="H316" s="9"/>
    </row>
    <row r="317" ht="15.75" customHeight="1">
      <c r="H317" s="9"/>
    </row>
    <row r="318" ht="15.75" customHeight="1">
      <c r="H318" s="9"/>
    </row>
    <row r="319" ht="15.75" customHeight="1">
      <c r="H319" s="9"/>
    </row>
    <row r="320" ht="15.75" customHeight="1">
      <c r="H320" s="9"/>
    </row>
    <row r="321" ht="15.75" customHeight="1">
      <c r="H321" s="9"/>
    </row>
    <row r="322" ht="15.75" customHeight="1">
      <c r="H322" s="9"/>
    </row>
    <row r="323" ht="15.75" customHeight="1">
      <c r="H323" s="9"/>
    </row>
    <row r="324" ht="15.75" customHeight="1">
      <c r="H324" s="9"/>
    </row>
    <row r="325" ht="15.75" customHeight="1">
      <c r="H325" s="9"/>
    </row>
    <row r="326" ht="15.75" customHeight="1">
      <c r="H326" s="9"/>
    </row>
    <row r="327" ht="15.75" customHeight="1">
      <c r="H327" s="9"/>
    </row>
    <row r="328" ht="15.75" customHeight="1">
      <c r="H328" s="9"/>
    </row>
    <row r="329" ht="15.75" customHeight="1">
      <c r="H329" s="9"/>
    </row>
    <row r="330" ht="15.75" customHeight="1">
      <c r="H330" s="9"/>
    </row>
    <row r="331" ht="15.75" customHeight="1">
      <c r="H331" s="9"/>
    </row>
    <row r="332" ht="15.75" customHeight="1">
      <c r="H332" s="9"/>
    </row>
    <row r="333" ht="15.75" customHeight="1">
      <c r="H333" s="9"/>
    </row>
    <row r="334" ht="15.75" customHeight="1">
      <c r="H334" s="9"/>
    </row>
    <row r="335" ht="15.75" customHeight="1">
      <c r="H335" s="9"/>
    </row>
    <row r="336" ht="15.75" customHeight="1">
      <c r="H336" s="9"/>
    </row>
    <row r="337" ht="15.75" customHeight="1">
      <c r="H337" s="9"/>
    </row>
    <row r="338" ht="15.75" customHeight="1">
      <c r="H338" s="9"/>
    </row>
    <row r="339" ht="15.75" customHeight="1">
      <c r="H339" s="9"/>
    </row>
    <row r="340" ht="15.75" customHeight="1">
      <c r="H340" s="9"/>
    </row>
    <row r="341" ht="15.75" customHeight="1">
      <c r="H341" s="9"/>
    </row>
    <row r="342" ht="15.75" customHeight="1">
      <c r="H342" s="9"/>
    </row>
    <row r="343" ht="15.75" customHeight="1">
      <c r="H343" s="9"/>
    </row>
    <row r="344" ht="15.75" customHeight="1">
      <c r="H344" s="9"/>
    </row>
    <row r="345" ht="15.75" customHeight="1">
      <c r="H345" s="9"/>
    </row>
    <row r="346" ht="15.75" customHeight="1">
      <c r="H346" s="9"/>
    </row>
    <row r="347" ht="15.75" customHeight="1">
      <c r="H347" s="9"/>
    </row>
    <row r="348" ht="15.75" customHeight="1">
      <c r="H348" s="9"/>
    </row>
    <row r="349" ht="15.75" customHeight="1">
      <c r="H349" s="9"/>
    </row>
    <row r="350" ht="15.75" customHeight="1">
      <c r="H350" s="9"/>
    </row>
    <row r="351" ht="15.75" customHeight="1">
      <c r="H351" s="9"/>
    </row>
    <row r="352" ht="15.75" customHeight="1">
      <c r="H352" s="9"/>
    </row>
    <row r="353" ht="15.75" customHeight="1">
      <c r="H353" s="9"/>
    </row>
    <row r="354" ht="15.75" customHeight="1">
      <c r="H354" s="9"/>
    </row>
    <row r="355" ht="15.75" customHeight="1">
      <c r="H355" s="9"/>
    </row>
    <row r="356" ht="15.75" customHeight="1">
      <c r="H356" s="9"/>
    </row>
    <row r="357" ht="15.75" customHeight="1">
      <c r="H357" s="9"/>
    </row>
    <row r="358" ht="15.75" customHeight="1">
      <c r="H358" s="9"/>
    </row>
    <row r="359" ht="15.75" customHeight="1">
      <c r="H359" s="9"/>
    </row>
    <row r="360" ht="15.75" customHeight="1">
      <c r="H360" s="9"/>
    </row>
    <row r="361" ht="15.75" customHeight="1">
      <c r="H361" s="9"/>
    </row>
    <row r="362" ht="15.75" customHeight="1">
      <c r="H362" s="9"/>
    </row>
    <row r="363" ht="15.75" customHeight="1">
      <c r="H363" s="9"/>
    </row>
    <row r="364" ht="15.75" customHeight="1">
      <c r="H364" s="9"/>
    </row>
    <row r="365" ht="15.75" customHeight="1">
      <c r="H365" s="9"/>
    </row>
    <row r="366" ht="15.75" customHeight="1">
      <c r="H366" s="9"/>
    </row>
    <row r="367" ht="15.75" customHeight="1">
      <c r="H367" s="9"/>
    </row>
    <row r="368" ht="15.75" customHeight="1">
      <c r="H368" s="9"/>
    </row>
    <row r="369" ht="15.75" customHeight="1">
      <c r="H369" s="9"/>
    </row>
    <row r="370" ht="15.75" customHeight="1">
      <c r="H370" s="9"/>
    </row>
    <row r="371" ht="15.75" customHeight="1">
      <c r="H371" s="9"/>
    </row>
    <row r="372" ht="15.75" customHeight="1">
      <c r="H372" s="9"/>
    </row>
    <row r="373" ht="15.75" customHeight="1">
      <c r="H373" s="9"/>
    </row>
    <row r="374" ht="15.75" customHeight="1">
      <c r="H374" s="9"/>
    </row>
    <row r="375" ht="15.75" customHeight="1">
      <c r="H375" s="9"/>
    </row>
    <row r="376" ht="15.75" customHeight="1">
      <c r="H376" s="9"/>
    </row>
    <row r="377" ht="15.75" customHeight="1">
      <c r="H377" s="9"/>
    </row>
    <row r="378" ht="15.75" customHeight="1">
      <c r="H378" s="9"/>
    </row>
    <row r="379" ht="15.75" customHeight="1">
      <c r="H379" s="9"/>
    </row>
    <row r="380" ht="15.75" customHeight="1">
      <c r="H380" s="9"/>
    </row>
    <row r="381" ht="15.75" customHeight="1">
      <c r="H381" s="9"/>
    </row>
    <row r="382" ht="15.75" customHeight="1">
      <c r="H382" s="9"/>
    </row>
    <row r="383" ht="15.75" customHeight="1">
      <c r="H383" s="9"/>
    </row>
    <row r="384" ht="15.75" customHeight="1">
      <c r="H384" s="9"/>
    </row>
    <row r="385" ht="15.75" customHeight="1">
      <c r="H385" s="9"/>
    </row>
    <row r="386" ht="15.75" customHeight="1">
      <c r="H386" s="9"/>
    </row>
    <row r="387" ht="15.75" customHeight="1">
      <c r="H387" s="9"/>
    </row>
    <row r="388" ht="15.75" customHeight="1">
      <c r="H388" s="9"/>
    </row>
    <row r="389" ht="15.75" customHeight="1">
      <c r="H389" s="9"/>
    </row>
    <row r="390" ht="15.75" customHeight="1">
      <c r="H390" s="9"/>
    </row>
    <row r="391" ht="15.75" customHeight="1">
      <c r="H391" s="9"/>
    </row>
    <row r="392" ht="15.75" customHeight="1">
      <c r="H392" s="9"/>
    </row>
    <row r="393" ht="15.75" customHeight="1">
      <c r="H393" s="9"/>
    </row>
    <row r="394" ht="15.75" customHeight="1">
      <c r="H394" s="9"/>
    </row>
    <row r="395" ht="15.75" customHeight="1">
      <c r="H395" s="9"/>
    </row>
    <row r="396" ht="15.75" customHeight="1">
      <c r="H396" s="9"/>
    </row>
    <row r="397" ht="15.75" customHeight="1">
      <c r="H397" s="9"/>
    </row>
    <row r="398" ht="15.75" customHeight="1">
      <c r="H398" s="9"/>
    </row>
    <row r="399" ht="15.75" customHeight="1">
      <c r="H399" s="9"/>
    </row>
    <row r="400" ht="15.75" customHeight="1">
      <c r="H400" s="9"/>
    </row>
    <row r="401" ht="15.75" customHeight="1">
      <c r="H401" s="9"/>
    </row>
    <row r="402" ht="15.75" customHeight="1">
      <c r="H402" s="9"/>
    </row>
    <row r="403" ht="15.75" customHeight="1">
      <c r="H403" s="9"/>
    </row>
    <row r="404" ht="15.75" customHeight="1">
      <c r="H404" s="9"/>
    </row>
    <row r="405" ht="15.75" customHeight="1">
      <c r="H405" s="9"/>
    </row>
    <row r="406" ht="15.75" customHeight="1">
      <c r="H406" s="9"/>
    </row>
    <row r="407" ht="15.75" customHeight="1">
      <c r="H407" s="9"/>
    </row>
    <row r="408" ht="15.75" customHeight="1">
      <c r="H408" s="9"/>
    </row>
    <row r="409" ht="15.75" customHeight="1">
      <c r="H409" s="9"/>
    </row>
    <row r="410" ht="15.75" customHeight="1">
      <c r="H410" s="9"/>
    </row>
    <row r="411" ht="15.75" customHeight="1">
      <c r="H411" s="9"/>
    </row>
    <row r="412" ht="15.75" customHeight="1">
      <c r="H412" s="9"/>
    </row>
    <row r="413" ht="15.75" customHeight="1">
      <c r="H413" s="9"/>
    </row>
    <row r="414" ht="15.75" customHeight="1">
      <c r="H414" s="9"/>
    </row>
    <row r="415" ht="15.75" customHeight="1">
      <c r="H415" s="9"/>
    </row>
    <row r="416" ht="15.75" customHeight="1">
      <c r="H416" s="9"/>
    </row>
    <row r="417" ht="15.75" customHeight="1">
      <c r="H417" s="9"/>
    </row>
    <row r="418" ht="15.75" customHeight="1">
      <c r="H418" s="9"/>
    </row>
    <row r="419" ht="15.75" customHeight="1">
      <c r="H419" s="9"/>
    </row>
    <row r="420" ht="15.75" customHeight="1">
      <c r="H420" s="9"/>
    </row>
    <row r="421" ht="15.75" customHeight="1">
      <c r="H421" s="9"/>
    </row>
    <row r="422" ht="15.75" customHeight="1">
      <c r="H422" s="9"/>
    </row>
    <row r="423" ht="15.75" customHeight="1">
      <c r="H423" s="9"/>
    </row>
    <row r="424" ht="15.75" customHeight="1">
      <c r="H424" s="9"/>
    </row>
    <row r="425" ht="15.75" customHeight="1">
      <c r="H425" s="9"/>
    </row>
    <row r="426" ht="15.75" customHeight="1">
      <c r="H426" s="9"/>
    </row>
    <row r="427" ht="15.75" customHeight="1">
      <c r="H427" s="9"/>
    </row>
    <row r="428" ht="15.75" customHeight="1">
      <c r="H428" s="9"/>
    </row>
    <row r="429" ht="15.75" customHeight="1">
      <c r="H429" s="9"/>
    </row>
    <row r="430" ht="15.75" customHeight="1">
      <c r="H430" s="9"/>
    </row>
    <row r="431" ht="15.75" customHeight="1">
      <c r="H431" s="9"/>
    </row>
    <row r="432" ht="15.75" customHeight="1">
      <c r="H432" s="9"/>
    </row>
    <row r="433" ht="15.75" customHeight="1">
      <c r="H433" s="9"/>
    </row>
    <row r="434" ht="15.75" customHeight="1">
      <c r="H434" s="9"/>
    </row>
    <row r="435" ht="15.75" customHeight="1">
      <c r="H435" s="9"/>
    </row>
    <row r="436" ht="15.75" customHeight="1">
      <c r="H436" s="9"/>
    </row>
    <row r="437" ht="15.75" customHeight="1">
      <c r="H437" s="9"/>
    </row>
    <row r="438" ht="15.75" customHeight="1">
      <c r="H438" s="9"/>
    </row>
    <row r="439" ht="15.75" customHeight="1">
      <c r="H439" s="9"/>
    </row>
    <row r="440" ht="15.75" customHeight="1">
      <c r="H440" s="9"/>
    </row>
    <row r="441" ht="15.75" customHeight="1">
      <c r="H441" s="9"/>
    </row>
    <row r="442" ht="15.75" customHeight="1">
      <c r="H442" s="9"/>
    </row>
    <row r="443" ht="15.75" customHeight="1">
      <c r="H443" s="9"/>
    </row>
    <row r="444" ht="15.75" customHeight="1">
      <c r="H444" s="9"/>
    </row>
    <row r="445" ht="15.75" customHeight="1">
      <c r="H445" s="9"/>
    </row>
    <row r="446" ht="15.75" customHeight="1">
      <c r="H446" s="9"/>
    </row>
    <row r="447" ht="15.75" customHeight="1">
      <c r="H447" s="9"/>
    </row>
    <row r="448" ht="15.75" customHeight="1">
      <c r="H448" s="9"/>
    </row>
    <row r="449" ht="15.75" customHeight="1">
      <c r="H449" s="9"/>
    </row>
    <row r="450" ht="15.75" customHeight="1">
      <c r="H450" s="9"/>
    </row>
    <row r="451" ht="15.75" customHeight="1">
      <c r="H451" s="9"/>
    </row>
    <row r="452" ht="15.75" customHeight="1">
      <c r="H452" s="9"/>
    </row>
    <row r="453" ht="15.75" customHeight="1">
      <c r="H453" s="9"/>
    </row>
    <row r="454" ht="15.75" customHeight="1">
      <c r="H454" s="9"/>
    </row>
    <row r="455" ht="15.75" customHeight="1">
      <c r="H455" s="9"/>
    </row>
    <row r="456" ht="15.75" customHeight="1">
      <c r="H456" s="9"/>
    </row>
    <row r="457" ht="15.75" customHeight="1">
      <c r="H457" s="9"/>
    </row>
    <row r="458" ht="15.75" customHeight="1">
      <c r="H458" s="9"/>
    </row>
    <row r="459" ht="15.75" customHeight="1">
      <c r="H459" s="9"/>
    </row>
    <row r="460" ht="15.75" customHeight="1">
      <c r="H460" s="9"/>
    </row>
    <row r="461" ht="15.75" customHeight="1">
      <c r="H461" s="9"/>
    </row>
    <row r="462" ht="15.75" customHeight="1">
      <c r="H462" s="9"/>
    </row>
    <row r="463" ht="15.75" customHeight="1">
      <c r="H463" s="9"/>
    </row>
    <row r="464" ht="15.75" customHeight="1">
      <c r="H464" s="9"/>
    </row>
    <row r="465" ht="15.75" customHeight="1">
      <c r="H465" s="9"/>
    </row>
    <row r="466" ht="15.75" customHeight="1">
      <c r="H466" s="9"/>
    </row>
    <row r="467" ht="15.75" customHeight="1">
      <c r="H467" s="9"/>
    </row>
    <row r="468" ht="15.75" customHeight="1">
      <c r="H468" s="9"/>
    </row>
    <row r="469" ht="15.75" customHeight="1">
      <c r="H469" s="9"/>
    </row>
    <row r="470" ht="15.75" customHeight="1">
      <c r="H470" s="9"/>
    </row>
    <row r="471" ht="15.75" customHeight="1">
      <c r="H471" s="9"/>
    </row>
    <row r="472" ht="15.75" customHeight="1">
      <c r="H472" s="9"/>
    </row>
    <row r="473" ht="15.75" customHeight="1">
      <c r="H473" s="9"/>
    </row>
    <row r="474" ht="15.75" customHeight="1">
      <c r="H474" s="9"/>
    </row>
    <row r="475" ht="15.75" customHeight="1">
      <c r="H475" s="9"/>
    </row>
    <row r="476" ht="15.75" customHeight="1">
      <c r="H476" s="9"/>
    </row>
    <row r="477" ht="15.75" customHeight="1">
      <c r="H477" s="9"/>
    </row>
    <row r="478" ht="15.75" customHeight="1">
      <c r="H478" s="9"/>
    </row>
    <row r="479" ht="15.75" customHeight="1">
      <c r="H479" s="9"/>
    </row>
    <row r="480" ht="15.75" customHeight="1">
      <c r="H480" s="9"/>
    </row>
    <row r="481" ht="15.75" customHeight="1">
      <c r="H481" s="9"/>
    </row>
    <row r="482" ht="15.75" customHeight="1">
      <c r="H482" s="9"/>
    </row>
    <row r="483" ht="15.75" customHeight="1">
      <c r="H483" s="9"/>
    </row>
    <row r="484" ht="15.75" customHeight="1">
      <c r="H484" s="9"/>
    </row>
    <row r="485" ht="15.75" customHeight="1">
      <c r="H485" s="9"/>
    </row>
    <row r="486" ht="15.75" customHeight="1">
      <c r="H486" s="9"/>
    </row>
    <row r="487" ht="15.75" customHeight="1">
      <c r="H487" s="9"/>
    </row>
    <row r="488" ht="15.75" customHeight="1">
      <c r="H488" s="9"/>
    </row>
    <row r="489" ht="15.75" customHeight="1">
      <c r="H489" s="9"/>
    </row>
    <row r="490" ht="15.75" customHeight="1">
      <c r="H490" s="9"/>
    </row>
    <row r="491" ht="15.75" customHeight="1">
      <c r="H491" s="9"/>
    </row>
    <row r="492" ht="15.75" customHeight="1">
      <c r="H492" s="9"/>
    </row>
    <row r="493" ht="15.75" customHeight="1">
      <c r="H493" s="9"/>
    </row>
    <row r="494" ht="15.75" customHeight="1">
      <c r="H494" s="9"/>
    </row>
    <row r="495" ht="15.75" customHeight="1">
      <c r="H495" s="9"/>
    </row>
    <row r="496" ht="15.75" customHeight="1">
      <c r="H496" s="9"/>
    </row>
    <row r="497" ht="15.75" customHeight="1">
      <c r="H497" s="9"/>
    </row>
    <row r="498" ht="15.75" customHeight="1">
      <c r="H498" s="9"/>
    </row>
    <row r="499" ht="15.75" customHeight="1">
      <c r="H499" s="9"/>
    </row>
    <row r="500" ht="15.75" customHeight="1">
      <c r="H500" s="9"/>
    </row>
    <row r="501" ht="15.75" customHeight="1">
      <c r="H501" s="9"/>
    </row>
    <row r="502" ht="15.75" customHeight="1">
      <c r="H502" s="9"/>
    </row>
    <row r="503" ht="15.75" customHeight="1">
      <c r="H503" s="9"/>
    </row>
    <row r="504" ht="15.75" customHeight="1">
      <c r="H504" s="9"/>
    </row>
    <row r="505" ht="15.75" customHeight="1">
      <c r="H505" s="9"/>
    </row>
    <row r="506" ht="15.75" customHeight="1">
      <c r="H506" s="9"/>
    </row>
    <row r="507" ht="15.75" customHeight="1">
      <c r="H507" s="9"/>
    </row>
    <row r="508" ht="15.75" customHeight="1">
      <c r="H508" s="9"/>
    </row>
    <row r="509" ht="15.75" customHeight="1">
      <c r="H509" s="9"/>
    </row>
    <row r="510" ht="15.75" customHeight="1">
      <c r="H510" s="9"/>
    </row>
    <row r="511" ht="15.75" customHeight="1">
      <c r="H511" s="9"/>
    </row>
    <row r="512" ht="15.75" customHeight="1">
      <c r="H512" s="9"/>
    </row>
    <row r="513" ht="15.75" customHeight="1">
      <c r="H513" s="9"/>
    </row>
    <row r="514" ht="15.75" customHeight="1">
      <c r="H514" s="9"/>
    </row>
    <row r="515" ht="15.75" customHeight="1">
      <c r="H515" s="9"/>
    </row>
    <row r="516" ht="15.75" customHeight="1">
      <c r="H516" s="9"/>
    </row>
    <row r="517" ht="15.75" customHeight="1">
      <c r="H517" s="9"/>
    </row>
    <row r="518" ht="15.75" customHeight="1">
      <c r="H518" s="9"/>
    </row>
    <row r="519" ht="15.75" customHeight="1">
      <c r="H519" s="9"/>
    </row>
    <row r="520" ht="15.75" customHeight="1">
      <c r="H520" s="9"/>
    </row>
    <row r="521" ht="15.75" customHeight="1">
      <c r="H521" s="9"/>
    </row>
    <row r="522" ht="15.75" customHeight="1">
      <c r="H522" s="9"/>
    </row>
    <row r="523" ht="15.75" customHeight="1">
      <c r="H523" s="9"/>
    </row>
    <row r="524" ht="15.75" customHeight="1">
      <c r="H524" s="9"/>
    </row>
    <row r="525" ht="15.75" customHeight="1">
      <c r="H525" s="9"/>
    </row>
    <row r="526" ht="15.75" customHeight="1">
      <c r="H526" s="9"/>
    </row>
    <row r="527" ht="15.75" customHeight="1">
      <c r="H527" s="9"/>
    </row>
    <row r="528" ht="15.75" customHeight="1">
      <c r="H528" s="9"/>
    </row>
    <row r="529" ht="15.75" customHeight="1">
      <c r="H529" s="9"/>
    </row>
    <row r="530" ht="15.75" customHeight="1">
      <c r="H530" s="9"/>
    </row>
    <row r="531" ht="15.75" customHeight="1">
      <c r="H531" s="9"/>
    </row>
    <row r="532" ht="15.75" customHeight="1">
      <c r="H532" s="9"/>
    </row>
    <row r="533" ht="15.75" customHeight="1">
      <c r="H533" s="9"/>
    </row>
    <row r="534" ht="15.75" customHeight="1">
      <c r="H534" s="9"/>
    </row>
    <row r="535" ht="15.75" customHeight="1">
      <c r="H535" s="9"/>
    </row>
    <row r="536" ht="15.75" customHeight="1">
      <c r="H536" s="9"/>
    </row>
    <row r="537" ht="15.75" customHeight="1">
      <c r="H537" s="9"/>
    </row>
    <row r="538" ht="15.75" customHeight="1">
      <c r="H538" s="9"/>
    </row>
    <row r="539" ht="15.75" customHeight="1">
      <c r="H539" s="9"/>
    </row>
    <row r="540" ht="15.75" customHeight="1">
      <c r="H540" s="9"/>
    </row>
    <row r="541" ht="15.75" customHeight="1">
      <c r="H541" s="9"/>
    </row>
    <row r="542" ht="15.75" customHeight="1">
      <c r="H542" s="9"/>
    </row>
    <row r="543" ht="15.75" customHeight="1">
      <c r="H543" s="9"/>
    </row>
    <row r="544" ht="15.75" customHeight="1">
      <c r="H544" s="9"/>
    </row>
    <row r="545" ht="15.75" customHeight="1">
      <c r="H545" s="9"/>
    </row>
    <row r="546" ht="15.75" customHeight="1">
      <c r="H546" s="9"/>
    </row>
    <row r="547" ht="15.75" customHeight="1">
      <c r="H547" s="9"/>
    </row>
    <row r="548" ht="15.75" customHeight="1">
      <c r="H548" s="9"/>
    </row>
    <row r="549" ht="15.75" customHeight="1">
      <c r="H549" s="9"/>
    </row>
    <row r="550" ht="15.75" customHeight="1">
      <c r="H550" s="9"/>
    </row>
    <row r="551" ht="15.75" customHeight="1">
      <c r="H551" s="9"/>
    </row>
    <row r="552" ht="15.75" customHeight="1">
      <c r="H552" s="9"/>
    </row>
    <row r="553" ht="15.75" customHeight="1">
      <c r="H553" s="9"/>
    </row>
    <row r="554" ht="15.75" customHeight="1">
      <c r="H554" s="9"/>
    </row>
    <row r="555" ht="15.75" customHeight="1">
      <c r="H555" s="9"/>
    </row>
    <row r="556" ht="15.75" customHeight="1">
      <c r="H556" s="9"/>
    </row>
    <row r="557" ht="15.75" customHeight="1">
      <c r="H557" s="9"/>
    </row>
    <row r="558" ht="15.75" customHeight="1">
      <c r="H558" s="9"/>
    </row>
    <row r="559" ht="15.75" customHeight="1">
      <c r="H559" s="9"/>
    </row>
    <row r="560" ht="15.75" customHeight="1">
      <c r="H560" s="9"/>
    </row>
    <row r="561" ht="15.75" customHeight="1">
      <c r="H561" s="9"/>
    </row>
    <row r="562" ht="15.75" customHeight="1">
      <c r="H562" s="9"/>
    </row>
    <row r="563" ht="15.75" customHeight="1">
      <c r="H563" s="9"/>
    </row>
    <row r="564" ht="15.75" customHeight="1">
      <c r="H564" s="9"/>
    </row>
    <row r="565" ht="15.75" customHeight="1">
      <c r="H565" s="9"/>
    </row>
    <row r="566" ht="15.75" customHeight="1">
      <c r="H566" s="9"/>
    </row>
    <row r="567" ht="15.75" customHeight="1">
      <c r="H567" s="9"/>
    </row>
    <row r="568" ht="15.75" customHeight="1">
      <c r="H568" s="9"/>
    </row>
    <row r="569" ht="15.75" customHeight="1">
      <c r="H569" s="9"/>
    </row>
    <row r="570" ht="15.75" customHeight="1">
      <c r="H570" s="9"/>
    </row>
    <row r="571" ht="15.75" customHeight="1">
      <c r="H571" s="9"/>
    </row>
    <row r="572" ht="15.75" customHeight="1">
      <c r="H572" s="9"/>
    </row>
    <row r="573" ht="15.75" customHeight="1">
      <c r="H573" s="9"/>
    </row>
    <row r="574" ht="15.75" customHeight="1">
      <c r="H574" s="9"/>
    </row>
    <row r="575" ht="15.75" customHeight="1">
      <c r="H575" s="9"/>
    </row>
    <row r="576" ht="15.75" customHeight="1">
      <c r="H576" s="9"/>
    </row>
    <row r="577" ht="15.75" customHeight="1">
      <c r="H577" s="9"/>
    </row>
    <row r="578" ht="15.75" customHeight="1">
      <c r="H578" s="9"/>
    </row>
    <row r="579" ht="15.75" customHeight="1">
      <c r="H579" s="9"/>
    </row>
    <row r="580" ht="15.75" customHeight="1">
      <c r="H580" s="9"/>
    </row>
    <row r="581" ht="15.75" customHeight="1">
      <c r="H581" s="9"/>
    </row>
    <row r="582" ht="15.75" customHeight="1">
      <c r="H582" s="9"/>
    </row>
    <row r="583" ht="15.75" customHeight="1">
      <c r="H583" s="9"/>
    </row>
    <row r="584" ht="15.75" customHeight="1">
      <c r="H584" s="9"/>
    </row>
    <row r="585" ht="15.75" customHeight="1">
      <c r="H585" s="9"/>
    </row>
    <row r="586" ht="15.75" customHeight="1">
      <c r="H586" s="9"/>
    </row>
    <row r="587" ht="15.75" customHeight="1">
      <c r="H587" s="9"/>
    </row>
    <row r="588" ht="15.75" customHeight="1">
      <c r="H588" s="9"/>
    </row>
    <row r="589" ht="15.75" customHeight="1">
      <c r="H589" s="9"/>
    </row>
    <row r="590" ht="15.75" customHeight="1">
      <c r="H590" s="9"/>
    </row>
    <row r="591" ht="15.75" customHeight="1">
      <c r="H591" s="9"/>
    </row>
    <row r="592" ht="15.75" customHeight="1">
      <c r="H592" s="9"/>
    </row>
    <row r="593" ht="15.75" customHeight="1">
      <c r="H593" s="9"/>
    </row>
    <row r="594" ht="15.75" customHeight="1">
      <c r="H594" s="9"/>
    </row>
    <row r="595" ht="15.75" customHeight="1">
      <c r="H595" s="9"/>
    </row>
    <row r="596" ht="15.75" customHeight="1">
      <c r="H596" s="9"/>
    </row>
    <row r="597" ht="15.75" customHeight="1">
      <c r="H597" s="9"/>
    </row>
    <row r="598" ht="15.75" customHeight="1">
      <c r="H598" s="9"/>
    </row>
    <row r="599" ht="15.75" customHeight="1">
      <c r="H599" s="9"/>
    </row>
    <row r="600" ht="15.75" customHeight="1">
      <c r="H600" s="9"/>
    </row>
    <row r="601" ht="15.75" customHeight="1">
      <c r="H601" s="9"/>
    </row>
    <row r="602" ht="15.75" customHeight="1">
      <c r="H602" s="9"/>
    </row>
    <row r="603" ht="15.75" customHeight="1">
      <c r="H603" s="9"/>
    </row>
    <row r="604" ht="15.75" customHeight="1">
      <c r="H604" s="9"/>
    </row>
    <row r="605" ht="15.75" customHeight="1">
      <c r="H605" s="9"/>
    </row>
    <row r="606" ht="15.75" customHeight="1">
      <c r="H606" s="9"/>
    </row>
    <row r="607" ht="15.75" customHeight="1">
      <c r="H607" s="9"/>
    </row>
    <row r="608" ht="15.75" customHeight="1">
      <c r="H608" s="9"/>
    </row>
    <row r="609" ht="15.75" customHeight="1">
      <c r="H609" s="9"/>
    </row>
    <row r="610" ht="15.75" customHeight="1">
      <c r="H610" s="9"/>
    </row>
    <row r="611" ht="15.75" customHeight="1">
      <c r="H611" s="9"/>
    </row>
    <row r="612" ht="15.75" customHeight="1">
      <c r="H612" s="9"/>
    </row>
    <row r="613" ht="15.75" customHeight="1">
      <c r="H613" s="9"/>
    </row>
    <row r="614" ht="15.75" customHeight="1">
      <c r="H614" s="9"/>
    </row>
    <row r="615" ht="15.75" customHeight="1">
      <c r="H615" s="9"/>
    </row>
    <row r="616" ht="15.75" customHeight="1">
      <c r="H616" s="9"/>
    </row>
    <row r="617" ht="15.75" customHeight="1">
      <c r="H617" s="9"/>
    </row>
    <row r="618" ht="15.75" customHeight="1">
      <c r="H618" s="9"/>
    </row>
    <row r="619" ht="15.75" customHeight="1">
      <c r="H619" s="9"/>
    </row>
    <row r="620" ht="15.75" customHeight="1">
      <c r="H620" s="9"/>
    </row>
    <row r="621" ht="15.75" customHeight="1">
      <c r="H621" s="9"/>
    </row>
    <row r="622" ht="15.75" customHeight="1">
      <c r="H622" s="9"/>
    </row>
    <row r="623" ht="15.75" customHeight="1">
      <c r="H623" s="9"/>
    </row>
    <row r="624" ht="15.75" customHeight="1">
      <c r="H624" s="9"/>
    </row>
    <row r="625" ht="15.75" customHeight="1">
      <c r="H625" s="9"/>
    </row>
    <row r="626" ht="15.75" customHeight="1">
      <c r="H626" s="9"/>
    </row>
    <row r="627" ht="15.75" customHeight="1">
      <c r="H627" s="9"/>
    </row>
    <row r="628" ht="15.75" customHeight="1">
      <c r="H628" s="9"/>
    </row>
    <row r="629" ht="15.75" customHeight="1">
      <c r="H629" s="9"/>
    </row>
    <row r="630" ht="15.75" customHeight="1">
      <c r="H630" s="9"/>
    </row>
    <row r="631" ht="15.75" customHeight="1">
      <c r="H631" s="9"/>
    </row>
    <row r="632" ht="15.75" customHeight="1">
      <c r="H632" s="9"/>
    </row>
    <row r="633" ht="15.75" customHeight="1">
      <c r="H633" s="9"/>
    </row>
    <row r="634" ht="15.75" customHeight="1">
      <c r="H634" s="9"/>
    </row>
    <row r="635" ht="15.75" customHeight="1">
      <c r="H635" s="9"/>
    </row>
    <row r="636" ht="15.75" customHeight="1">
      <c r="H636" s="9"/>
    </row>
    <row r="637" ht="15.75" customHeight="1">
      <c r="H637" s="9"/>
    </row>
    <row r="638" ht="15.75" customHeight="1">
      <c r="H638" s="9"/>
    </row>
    <row r="639" ht="15.75" customHeight="1">
      <c r="H639" s="9"/>
    </row>
    <row r="640" ht="15.75" customHeight="1">
      <c r="H640" s="9"/>
    </row>
    <row r="641" ht="15.75" customHeight="1">
      <c r="H641" s="9"/>
    </row>
    <row r="642" ht="15.75" customHeight="1">
      <c r="H642" s="9"/>
    </row>
    <row r="643" ht="15.75" customHeight="1">
      <c r="H643" s="9"/>
    </row>
    <row r="644" ht="15.75" customHeight="1">
      <c r="H644" s="9"/>
    </row>
    <row r="645" ht="15.75" customHeight="1">
      <c r="H645" s="9"/>
    </row>
    <row r="646" ht="15.75" customHeight="1">
      <c r="H646" s="9"/>
    </row>
    <row r="647" ht="15.75" customHeight="1">
      <c r="H647" s="9"/>
    </row>
    <row r="648" ht="15.75" customHeight="1">
      <c r="H648" s="9"/>
    </row>
    <row r="649" ht="15.75" customHeight="1">
      <c r="H649" s="9"/>
    </row>
    <row r="650" ht="15.75" customHeight="1">
      <c r="H650" s="9"/>
    </row>
    <row r="651" ht="15.75" customHeight="1">
      <c r="H651" s="9"/>
    </row>
    <row r="652" ht="15.75" customHeight="1">
      <c r="H652" s="9"/>
    </row>
    <row r="653" ht="15.75" customHeight="1">
      <c r="H653" s="9"/>
    </row>
    <row r="654" ht="15.75" customHeight="1">
      <c r="H654" s="9"/>
    </row>
    <row r="655" ht="15.75" customHeight="1">
      <c r="H655" s="9"/>
    </row>
    <row r="656" ht="15.75" customHeight="1">
      <c r="H656" s="9"/>
    </row>
    <row r="657" ht="15.75" customHeight="1">
      <c r="H657" s="9"/>
    </row>
    <row r="658" ht="15.75" customHeight="1">
      <c r="H658" s="9"/>
    </row>
    <row r="659" ht="15.75" customHeight="1">
      <c r="H659" s="9"/>
    </row>
    <row r="660" ht="15.75" customHeight="1">
      <c r="H660" s="9"/>
    </row>
    <row r="661" ht="15.75" customHeight="1">
      <c r="H661" s="9"/>
    </row>
    <row r="662" ht="15.75" customHeight="1">
      <c r="H662" s="9"/>
    </row>
    <row r="663" ht="15.75" customHeight="1">
      <c r="H663" s="9"/>
    </row>
    <row r="664" ht="15.75" customHeight="1">
      <c r="H664" s="9"/>
    </row>
    <row r="665" ht="15.75" customHeight="1">
      <c r="H665" s="9"/>
    </row>
    <row r="666" ht="15.75" customHeight="1">
      <c r="H666" s="9"/>
    </row>
    <row r="667" ht="15.75" customHeight="1">
      <c r="H667" s="9"/>
    </row>
    <row r="668" ht="15.75" customHeight="1">
      <c r="H668" s="9"/>
    </row>
    <row r="669" ht="15.75" customHeight="1">
      <c r="H669" s="9"/>
    </row>
    <row r="670" ht="15.75" customHeight="1">
      <c r="H670" s="9"/>
    </row>
    <row r="671" ht="15.75" customHeight="1">
      <c r="H671" s="9"/>
    </row>
    <row r="672" ht="15.75" customHeight="1">
      <c r="H672" s="9"/>
    </row>
    <row r="673" ht="15.75" customHeight="1">
      <c r="H673" s="9"/>
    </row>
    <row r="674" ht="15.75" customHeight="1">
      <c r="H674" s="9"/>
    </row>
    <row r="675" ht="15.75" customHeight="1">
      <c r="H675" s="9"/>
    </row>
    <row r="676" ht="15.75" customHeight="1">
      <c r="H676" s="9"/>
    </row>
    <row r="677" ht="15.75" customHeight="1">
      <c r="H677" s="9"/>
    </row>
    <row r="678" ht="15.75" customHeight="1">
      <c r="H678" s="9"/>
    </row>
    <row r="679" ht="15.75" customHeight="1">
      <c r="H679" s="9"/>
    </row>
    <row r="680" ht="15.75" customHeight="1">
      <c r="H680" s="9"/>
    </row>
    <row r="681" ht="15.75" customHeight="1">
      <c r="H681" s="9"/>
    </row>
    <row r="682" ht="15.75" customHeight="1">
      <c r="H682" s="9"/>
    </row>
    <row r="683" ht="15.75" customHeight="1">
      <c r="H683" s="9"/>
    </row>
    <row r="684" ht="15.75" customHeight="1">
      <c r="H684" s="9"/>
    </row>
    <row r="685" ht="15.75" customHeight="1">
      <c r="H685" s="9"/>
    </row>
    <row r="686" ht="15.75" customHeight="1">
      <c r="H686" s="9"/>
    </row>
    <row r="687" ht="15.75" customHeight="1">
      <c r="H687" s="9"/>
    </row>
    <row r="688" ht="15.75" customHeight="1">
      <c r="H688" s="9"/>
    </row>
    <row r="689" ht="15.75" customHeight="1">
      <c r="H689" s="9"/>
    </row>
    <row r="690" ht="15.75" customHeight="1">
      <c r="H690" s="9"/>
    </row>
    <row r="691" ht="15.75" customHeight="1">
      <c r="H691" s="9"/>
    </row>
    <row r="692" ht="15.75" customHeight="1">
      <c r="H692" s="9"/>
    </row>
    <row r="693" ht="15.75" customHeight="1">
      <c r="H693" s="9"/>
    </row>
    <row r="694" ht="15.75" customHeight="1">
      <c r="H694" s="9"/>
    </row>
    <row r="695" ht="15.75" customHeight="1">
      <c r="H695" s="9"/>
    </row>
    <row r="696" ht="15.75" customHeight="1">
      <c r="H696" s="9"/>
    </row>
    <row r="697" ht="15.75" customHeight="1">
      <c r="H697" s="9"/>
    </row>
    <row r="698" ht="15.75" customHeight="1">
      <c r="H698" s="9"/>
    </row>
    <row r="699" ht="15.75" customHeight="1">
      <c r="H699" s="9"/>
    </row>
    <row r="700" ht="15.75" customHeight="1">
      <c r="H700" s="9"/>
    </row>
    <row r="701" ht="15.75" customHeight="1">
      <c r="H701" s="9"/>
    </row>
    <row r="702" ht="15.75" customHeight="1">
      <c r="H702" s="9"/>
    </row>
    <row r="703" ht="15.75" customHeight="1">
      <c r="H703" s="9"/>
    </row>
    <row r="704" ht="15.75" customHeight="1">
      <c r="H704" s="9"/>
    </row>
    <row r="705" ht="15.75" customHeight="1">
      <c r="H705" s="9"/>
    </row>
    <row r="706" ht="15.75" customHeight="1">
      <c r="H706" s="9"/>
    </row>
    <row r="707" ht="15.75" customHeight="1">
      <c r="H707" s="9"/>
    </row>
    <row r="708" ht="15.75" customHeight="1">
      <c r="H708" s="9"/>
    </row>
    <row r="709" ht="15.75" customHeight="1">
      <c r="H709" s="9"/>
    </row>
    <row r="710" ht="15.75" customHeight="1">
      <c r="H710" s="9"/>
    </row>
    <row r="711" ht="15.75" customHeight="1">
      <c r="H711" s="9"/>
    </row>
    <row r="712" ht="15.75" customHeight="1">
      <c r="H712" s="9"/>
    </row>
    <row r="713" ht="15.75" customHeight="1">
      <c r="H713" s="9"/>
    </row>
    <row r="714" ht="15.75" customHeight="1">
      <c r="H714" s="9"/>
    </row>
    <row r="715" ht="15.75" customHeight="1">
      <c r="H715" s="9"/>
    </row>
    <row r="716" ht="15.75" customHeight="1">
      <c r="H716" s="9"/>
    </row>
    <row r="717" ht="15.75" customHeight="1">
      <c r="H717" s="9"/>
    </row>
    <row r="718" ht="15.75" customHeight="1">
      <c r="H718" s="9"/>
    </row>
    <row r="719" ht="15.75" customHeight="1">
      <c r="H719" s="9"/>
    </row>
    <row r="720" ht="15.75" customHeight="1">
      <c r="H720" s="9"/>
    </row>
    <row r="721" ht="15.75" customHeight="1">
      <c r="H721" s="9"/>
    </row>
    <row r="722" ht="15.75" customHeight="1">
      <c r="H722" s="9"/>
    </row>
    <row r="723" ht="15.75" customHeight="1">
      <c r="H723" s="9"/>
    </row>
    <row r="724" ht="15.75" customHeight="1">
      <c r="H724" s="9"/>
    </row>
    <row r="725" ht="15.75" customHeight="1">
      <c r="H725" s="9"/>
    </row>
    <row r="726" ht="15.75" customHeight="1">
      <c r="H726" s="9"/>
    </row>
    <row r="727" ht="15.75" customHeight="1">
      <c r="H727" s="9"/>
    </row>
    <row r="728" ht="15.75" customHeight="1">
      <c r="H728" s="9"/>
    </row>
    <row r="729" ht="15.75" customHeight="1">
      <c r="H729" s="9"/>
    </row>
    <row r="730" ht="15.75" customHeight="1">
      <c r="H730" s="9"/>
    </row>
    <row r="731" ht="15.75" customHeight="1">
      <c r="H731" s="9"/>
    </row>
    <row r="732" ht="15.75" customHeight="1">
      <c r="H732" s="9"/>
    </row>
    <row r="733" ht="15.75" customHeight="1">
      <c r="H733" s="9"/>
    </row>
    <row r="734" ht="15.75" customHeight="1">
      <c r="H734" s="9"/>
    </row>
    <row r="735" ht="15.75" customHeight="1">
      <c r="H735" s="9"/>
    </row>
    <row r="736" ht="15.75" customHeight="1">
      <c r="H736" s="9"/>
    </row>
    <row r="737" ht="15.75" customHeight="1">
      <c r="H737" s="9"/>
    </row>
    <row r="738" ht="15.75" customHeight="1">
      <c r="H738" s="9"/>
    </row>
    <row r="739" ht="15.75" customHeight="1">
      <c r="H739" s="9"/>
    </row>
    <row r="740" ht="15.75" customHeight="1">
      <c r="H740" s="9"/>
    </row>
    <row r="741" ht="15.75" customHeight="1">
      <c r="H741" s="9"/>
    </row>
    <row r="742" ht="15.75" customHeight="1">
      <c r="H742" s="9"/>
    </row>
    <row r="743" ht="15.75" customHeight="1">
      <c r="H743" s="9"/>
    </row>
    <row r="744" ht="15.75" customHeight="1">
      <c r="H744" s="9"/>
    </row>
    <row r="745" ht="15.75" customHeight="1">
      <c r="H745" s="9"/>
    </row>
    <row r="746" ht="15.75" customHeight="1">
      <c r="H746" s="9"/>
    </row>
    <row r="747" ht="15.75" customHeight="1">
      <c r="H747" s="9"/>
    </row>
    <row r="748" ht="15.75" customHeight="1">
      <c r="H748" s="9"/>
    </row>
    <row r="749" ht="15.75" customHeight="1">
      <c r="H749" s="9"/>
    </row>
    <row r="750" ht="15.75" customHeight="1">
      <c r="H750" s="9"/>
    </row>
    <row r="751" ht="15.75" customHeight="1">
      <c r="H751" s="9"/>
    </row>
    <row r="752" ht="15.75" customHeight="1">
      <c r="H752" s="9"/>
    </row>
    <row r="753" ht="15.75" customHeight="1">
      <c r="H753" s="9"/>
    </row>
    <row r="754" ht="15.75" customHeight="1">
      <c r="H754" s="9"/>
    </row>
    <row r="755" ht="15.75" customHeight="1">
      <c r="H755" s="9"/>
    </row>
    <row r="756" ht="15.75" customHeight="1">
      <c r="H756" s="9"/>
    </row>
    <row r="757" ht="15.75" customHeight="1">
      <c r="H757" s="9"/>
    </row>
    <row r="758" ht="15.75" customHeight="1">
      <c r="H758" s="9"/>
    </row>
    <row r="759" ht="15.75" customHeight="1">
      <c r="H759" s="9"/>
    </row>
    <row r="760" ht="15.75" customHeight="1">
      <c r="H760" s="9"/>
    </row>
    <row r="761" ht="15.75" customHeight="1">
      <c r="H761" s="9"/>
    </row>
    <row r="762" ht="15.75" customHeight="1">
      <c r="H762" s="9"/>
    </row>
    <row r="763" ht="15.75" customHeight="1">
      <c r="H763" s="9"/>
    </row>
    <row r="764" ht="15.75" customHeight="1">
      <c r="H764" s="9"/>
    </row>
    <row r="765" ht="15.75" customHeight="1">
      <c r="H765" s="9"/>
    </row>
    <row r="766" ht="15.75" customHeight="1">
      <c r="H766" s="9"/>
    </row>
    <row r="767" ht="15.75" customHeight="1">
      <c r="H767" s="9"/>
    </row>
    <row r="768" ht="15.75" customHeight="1">
      <c r="H768" s="9"/>
    </row>
    <row r="769" ht="15.75" customHeight="1">
      <c r="H769" s="9"/>
    </row>
    <row r="770" ht="15.75" customHeight="1">
      <c r="H770" s="9"/>
    </row>
    <row r="771" ht="15.75" customHeight="1">
      <c r="H771" s="9"/>
    </row>
    <row r="772" ht="15.75" customHeight="1">
      <c r="H772" s="9"/>
    </row>
    <row r="773" ht="15.75" customHeight="1">
      <c r="H773" s="9"/>
    </row>
    <row r="774" ht="15.75" customHeight="1">
      <c r="H774" s="9"/>
    </row>
    <row r="775" ht="15.75" customHeight="1">
      <c r="H775" s="9"/>
    </row>
    <row r="776" ht="15.75" customHeight="1">
      <c r="H776" s="9"/>
    </row>
    <row r="777" ht="15.75" customHeight="1">
      <c r="H777" s="9"/>
    </row>
    <row r="778" ht="15.75" customHeight="1">
      <c r="H778" s="9"/>
    </row>
    <row r="779" ht="15.75" customHeight="1">
      <c r="H779" s="9"/>
    </row>
    <row r="780" ht="15.75" customHeight="1">
      <c r="H780" s="9"/>
    </row>
    <row r="781" ht="15.75" customHeight="1">
      <c r="H781" s="9"/>
    </row>
    <row r="782" ht="15.75" customHeight="1">
      <c r="H782" s="9"/>
    </row>
    <row r="783" ht="15.75" customHeight="1">
      <c r="H783" s="9"/>
    </row>
    <row r="784" ht="15.75" customHeight="1">
      <c r="H784" s="9"/>
    </row>
    <row r="785" ht="15.75" customHeight="1">
      <c r="H785" s="9"/>
    </row>
    <row r="786" ht="15.75" customHeight="1">
      <c r="H786" s="9"/>
    </row>
    <row r="787" ht="15.75" customHeight="1">
      <c r="H787" s="9"/>
    </row>
    <row r="788" ht="15.75" customHeight="1">
      <c r="H788" s="9"/>
    </row>
    <row r="789" ht="15.75" customHeight="1">
      <c r="H789" s="9"/>
    </row>
    <row r="790" ht="15.75" customHeight="1">
      <c r="H790" s="9"/>
    </row>
    <row r="791" ht="15.75" customHeight="1">
      <c r="H791" s="9"/>
    </row>
    <row r="792" ht="15.75" customHeight="1">
      <c r="H792" s="9"/>
    </row>
    <row r="793" ht="15.75" customHeight="1">
      <c r="H793" s="9"/>
    </row>
    <row r="794" ht="15.75" customHeight="1">
      <c r="H794" s="9"/>
    </row>
    <row r="795" ht="15.75" customHeight="1">
      <c r="H795" s="9"/>
    </row>
    <row r="796" ht="15.75" customHeight="1">
      <c r="H796" s="9"/>
    </row>
    <row r="797" ht="15.75" customHeight="1">
      <c r="H797" s="9"/>
    </row>
    <row r="798" ht="15.75" customHeight="1">
      <c r="H798" s="9"/>
    </row>
    <row r="799" ht="15.75" customHeight="1">
      <c r="H799" s="9"/>
    </row>
    <row r="800" ht="15.75" customHeight="1">
      <c r="H800" s="9"/>
    </row>
    <row r="801" ht="15.75" customHeight="1">
      <c r="H801" s="9"/>
    </row>
    <row r="802" ht="15.75" customHeight="1">
      <c r="H802" s="9"/>
    </row>
    <row r="803" ht="15.75" customHeight="1">
      <c r="H803" s="9"/>
    </row>
    <row r="804" ht="15.75" customHeight="1">
      <c r="H804" s="9"/>
    </row>
    <row r="805" ht="15.75" customHeight="1">
      <c r="H805" s="9"/>
    </row>
    <row r="806" ht="15.75" customHeight="1">
      <c r="H806" s="9"/>
    </row>
    <row r="807" ht="15.75" customHeight="1">
      <c r="H807" s="9"/>
    </row>
    <row r="808" ht="15.75" customHeight="1">
      <c r="H808" s="9"/>
    </row>
    <row r="809" ht="15.75" customHeight="1">
      <c r="H809" s="9"/>
    </row>
    <row r="810" ht="15.75" customHeight="1">
      <c r="H810" s="9"/>
    </row>
    <row r="811" ht="15.75" customHeight="1">
      <c r="H811" s="9"/>
    </row>
    <row r="812" ht="15.75" customHeight="1">
      <c r="H812" s="9"/>
    </row>
    <row r="813" ht="15.75" customHeight="1">
      <c r="H813" s="9"/>
    </row>
    <row r="814" ht="15.75" customHeight="1">
      <c r="H814" s="9"/>
    </row>
    <row r="815" ht="15.75" customHeight="1">
      <c r="H815" s="9"/>
    </row>
    <row r="816" ht="15.75" customHeight="1">
      <c r="H816" s="9"/>
    </row>
    <row r="817" ht="15.75" customHeight="1">
      <c r="H817" s="9"/>
    </row>
    <row r="818" ht="15.75" customHeight="1">
      <c r="H818" s="9"/>
    </row>
    <row r="819" ht="15.75" customHeight="1">
      <c r="H819" s="9"/>
    </row>
    <row r="820" ht="15.75" customHeight="1">
      <c r="H820" s="9"/>
    </row>
    <row r="821" ht="15.75" customHeight="1">
      <c r="H821" s="9"/>
    </row>
    <row r="822" ht="15.75" customHeight="1">
      <c r="H822" s="9"/>
    </row>
    <row r="823" ht="15.75" customHeight="1">
      <c r="H823" s="9"/>
    </row>
    <row r="824" ht="15.75" customHeight="1">
      <c r="H824" s="9"/>
    </row>
    <row r="825" ht="15.75" customHeight="1">
      <c r="H825" s="9"/>
    </row>
    <row r="826" ht="15.75" customHeight="1">
      <c r="H826" s="9"/>
    </row>
    <row r="827" ht="15.75" customHeight="1">
      <c r="H827" s="9"/>
    </row>
    <row r="828" ht="15.75" customHeight="1">
      <c r="H828" s="9"/>
    </row>
    <row r="829" ht="15.75" customHeight="1">
      <c r="H829" s="9"/>
    </row>
    <row r="830" ht="15.75" customHeight="1">
      <c r="H830" s="9"/>
    </row>
    <row r="831" ht="15.75" customHeight="1">
      <c r="H831" s="9"/>
    </row>
    <row r="832" ht="15.75" customHeight="1">
      <c r="H832" s="9"/>
    </row>
    <row r="833" ht="15.75" customHeight="1">
      <c r="H833" s="9"/>
    </row>
    <row r="834" ht="15.75" customHeight="1">
      <c r="H834" s="9"/>
    </row>
    <row r="835" ht="15.75" customHeight="1">
      <c r="H835" s="9"/>
    </row>
    <row r="836" ht="15.75" customHeight="1">
      <c r="H836" s="9"/>
    </row>
    <row r="837" ht="15.75" customHeight="1">
      <c r="H837" s="9"/>
    </row>
    <row r="838" ht="15.75" customHeight="1">
      <c r="H838" s="9"/>
    </row>
    <row r="839" ht="15.75" customHeight="1">
      <c r="H839" s="9"/>
    </row>
    <row r="840" ht="15.75" customHeight="1">
      <c r="H840" s="9"/>
    </row>
    <row r="841" ht="15.75" customHeight="1">
      <c r="H841" s="9"/>
    </row>
    <row r="842" ht="15.75" customHeight="1">
      <c r="H842" s="9"/>
    </row>
    <row r="843" ht="15.75" customHeight="1">
      <c r="H843" s="9"/>
    </row>
    <row r="844" ht="15.75" customHeight="1">
      <c r="H844" s="9"/>
    </row>
    <row r="845" ht="15.75" customHeight="1">
      <c r="H845" s="9"/>
    </row>
    <row r="846" ht="15.75" customHeight="1">
      <c r="H846" s="9"/>
    </row>
    <row r="847" ht="15.75" customHeight="1">
      <c r="H847" s="9"/>
    </row>
    <row r="848" ht="15.75" customHeight="1">
      <c r="H848" s="9"/>
    </row>
    <row r="849" ht="15.75" customHeight="1">
      <c r="H849" s="9"/>
    </row>
    <row r="850" ht="15.75" customHeight="1">
      <c r="H850" s="9"/>
    </row>
    <row r="851" ht="15.75" customHeight="1">
      <c r="H851" s="9"/>
    </row>
    <row r="852" ht="15.75" customHeight="1">
      <c r="H852" s="9"/>
    </row>
    <row r="853" ht="15.75" customHeight="1">
      <c r="H853" s="9"/>
    </row>
    <row r="854" ht="15.75" customHeight="1">
      <c r="H854" s="9"/>
    </row>
    <row r="855" ht="15.75" customHeight="1">
      <c r="H855" s="9"/>
    </row>
    <row r="856" ht="15.75" customHeight="1">
      <c r="H856" s="9"/>
    </row>
    <row r="857" ht="15.75" customHeight="1">
      <c r="H857" s="9"/>
    </row>
    <row r="858" ht="15.75" customHeight="1">
      <c r="H858" s="9"/>
    </row>
    <row r="859" ht="15.75" customHeight="1">
      <c r="H859" s="9"/>
    </row>
    <row r="860" ht="15.75" customHeight="1">
      <c r="H860" s="9"/>
    </row>
    <row r="861" ht="15.75" customHeight="1">
      <c r="H861" s="9"/>
    </row>
    <row r="862" ht="15.75" customHeight="1">
      <c r="H862" s="9"/>
    </row>
    <row r="863" ht="15.75" customHeight="1">
      <c r="H863" s="9"/>
    </row>
    <row r="864" ht="15.75" customHeight="1">
      <c r="H864" s="9"/>
    </row>
    <row r="865" ht="15.75" customHeight="1">
      <c r="H865" s="9"/>
    </row>
    <row r="866" ht="15.75" customHeight="1">
      <c r="H866" s="9"/>
    </row>
    <row r="867" ht="15.75" customHeight="1">
      <c r="H867" s="9"/>
    </row>
    <row r="868" ht="15.75" customHeight="1">
      <c r="H868" s="9"/>
    </row>
    <row r="869" ht="15.75" customHeight="1">
      <c r="H869" s="9"/>
    </row>
    <row r="870" ht="15.75" customHeight="1">
      <c r="H870" s="9"/>
    </row>
    <row r="871" ht="15.75" customHeight="1">
      <c r="H871" s="9"/>
    </row>
    <row r="872" ht="15.75" customHeight="1">
      <c r="H872" s="9"/>
    </row>
    <row r="873" ht="15.75" customHeight="1">
      <c r="H873" s="9"/>
    </row>
    <row r="874" ht="15.75" customHeight="1">
      <c r="H874" s="9"/>
    </row>
    <row r="875" ht="15.75" customHeight="1">
      <c r="H875" s="9"/>
    </row>
    <row r="876" ht="15.75" customHeight="1">
      <c r="H876" s="9"/>
    </row>
    <row r="877" ht="15.75" customHeight="1">
      <c r="H877" s="9"/>
    </row>
    <row r="878" ht="15.75" customHeight="1">
      <c r="H878" s="9"/>
    </row>
    <row r="879" ht="15.75" customHeight="1">
      <c r="H879" s="9"/>
    </row>
    <row r="880" ht="15.75" customHeight="1">
      <c r="H880" s="9"/>
    </row>
    <row r="881" ht="15.75" customHeight="1">
      <c r="H881" s="9"/>
    </row>
    <row r="882" ht="15.75" customHeight="1">
      <c r="H882" s="9"/>
    </row>
    <row r="883" ht="15.75" customHeight="1">
      <c r="H883" s="9"/>
    </row>
    <row r="884" ht="15.75" customHeight="1">
      <c r="H884" s="9"/>
    </row>
    <row r="885" ht="15.75" customHeight="1">
      <c r="H885" s="9"/>
    </row>
    <row r="886" ht="15.75" customHeight="1">
      <c r="H886" s="9"/>
    </row>
    <row r="887" ht="15.75" customHeight="1">
      <c r="H887" s="9"/>
    </row>
    <row r="888" ht="15.75" customHeight="1">
      <c r="H888" s="9"/>
    </row>
    <row r="889" ht="15.75" customHeight="1">
      <c r="H889" s="9"/>
    </row>
    <row r="890" ht="15.75" customHeight="1">
      <c r="H890" s="9"/>
    </row>
    <row r="891" ht="15.75" customHeight="1">
      <c r="H891" s="9"/>
    </row>
    <row r="892" ht="15.75" customHeight="1">
      <c r="H892" s="9"/>
    </row>
    <row r="893" ht="15.75" customHeight="1">
      <c r="H893" s="9"/>
    </row>
    <row r="894" ht="15.75" customHeight="1">
      <c r="H894" s="9"/>
    </row>
    <row r="895" ht="15.75" customHeight="1">
      <c r="H895" s="9"/>
    </row>
    <row r="896" ht="15.75" customHeight="1">
      <c r="H896" s="9"/>
    </row>
    <row r="897" ht="15.75" customHeight="1">
      <c r="H897" s="9"/>
    </row>
    <row r="898" ht="15.75" customHeight="1">
      <c r="H898" s="9"/>
    </row>
    <row r="899" ht="15.75" customHeight="1">
      <c r="H899" s="9"/>
    </row>
    <row r="900" ht="15.75" customHeight="1">
      <c r="H900" s="9"/>
    </row>
    <row r="901" ht="15.75" customHeight="1">
      <c r="H901" s="9"/>
    </row>
    <row r="902" ht="15.75" customHeight="1">
      <c r="H902" s="9"/>
    </row>
    <row r="903" ht="15.75" customHeight="1">
      <c r="H903" s="9"/>
    </row>
    <row r="904" ht="15.75" customHeight="1">
      <c r="H904" s="9"/>
    </row>
    <row r="905" ht="15.75" customHeight="1">
      <c r="H905" s="9"/>
    </row>
    <row r="906" ht="15.75" customHeight="1">
      <c r="H906" s="9"/>
    </row>
    <row r="907" ht="15.75" customHeight="1">
      <c r="H907" s="9"/>
    </row>
    <row r="908" ht="15.75" customHeight="1">
      <c r="H908" s="9"/>
    </row>
    <row r="909" ht="15.75" customHeight="1">
      <c r="H909" s="9"/>
    </row>
    <row r="910" ht="15.75" customHeight="1">
      <c r="H910" s="9"/>
    </row>
    <row r="911" ht="15.75" customHeight="1">
      <c r="H911" s="9"/>
    </row>
    <row r="912" ht="15.75" customHeight="1">
      <c r="H912" s="9"/>
    </row>
    <row r="913" ht="15.75" customHeight="1">
      <c r="H913" s="9"/>
    </row>
    <row r="914" ht="15.75" customHeight="1">
      <c r="H914" s="9"/>
    </row>
    <row r="915" ht="15.75" customHeight="1">
      <c r="H915" s="9"/>
    </row>
    <row r="916" ht="15.75" customHeight="1">
      <c r="H916" s="9"/>
    </row>
    <row r="917" ht="15.75" customHeight="1">
      <c r="H917" s="9"/>
    </row>
    <row r="918" ht="15.75" customHeight="1">
      <c r="H918" s="9"/>
    </row>
    <row r="919" ht="15.75" customHeight="1">
      <c r="H919" s="9"/>
    </row>
    <row r="920" ht="15.75" customHeight="1">
      <c r="H920" s="9"/>
    </row>
    <row r="921" ht="15.75" customHeight="1">
      <c r="H921" s="9"/>
    </row>
    <row r="922" ht="15.75" customHeight="1">
      <c r="H922" s="9"/>
    </row>
    <row r="923" ht="15.75" customHeight="1">
      <c r="H923" s="9"/>
    </row>
    <row r="924" ht="15.75" customHeight="1">
      <c r="H924" s="9"/>
    </row>
    <row r="925" ht="15.75" customHeight="1">
      <c r="H925" s="9"/>
    </row>
    <row r="926" ht="15.75" customHeight="1">
      <c r="H926" s="9"/>
    </row>
    <row r="927" ht="15.75" customHeight="1">
      <c r="H927" s="9"/>
    </row>
    <row r="928" ht="15.75" customHeight="1">
      <c r="H928" s="9"/>
    </row>
    <row r="929" ht="15.75" customHeight="1">
      <c r="H929" s="9"/>
    </row>
    <row r="930" ht="15.75" customHeight="1">
      <c r="H930" s="9"/>
    </row>
    <row r="931" ht="15.75" customHeight="1">
      <c r="H931" s="9"/>
    </row>
    <row r="932" ht="15.75" customHeight="1">
      <c r="H932" s="9"/>
    </row>
    <row r="933" ht="15.75" customHeight="1">
      <c r="H933" s="9"/>
    </row>
    <row r="934" ht="15.75" customHeight="1">
      <c r="H934" s="9"/>
    </row>
    <row r="935" ht="15.75" customHeight="1">
      <c r="H935" s="9"/>
    </row>
    <row r="936" ht="15.75" customHeight="1">
      <c r="H936" s="9"/>
    </row>
    <row r="937" ht="15.75" customHeight="1">
      <c r="H937" s="9"/>
    </row>
    <row r="938" ht="15.75" customHeight="1">
      <c r="H938" s="9"/>
    </row>
    <row r="939" ht="15.75" customHeight="1">
      <c r="H939" s="9"/>
    </row>
    <row r="940" ht="15.75" customHeight="1">
      <c r="H940" s="9"/>
    </row>
    <row r="941" ht="15.75" customHeight="1">
      <c r="H941" s="9"/>
    </row>
    <row r="942" ht="15.75" customHeight="1">
      <c r="H942" s="9"/>
    </row>
    <row r="943" ht="15.75" customHeight="1">
      <c r="H943" s="9"/>
    </row>
    <row r="944" ht="15.75" customHeight="1">
      <c r="H944" s="9"/>
    </row>
    <row r="945" ht="15.75" customHeight="1">
      <c r="H945" s="9"/>
    </row>
    <row r="946" ht="15.75" customHeight="1">
      <c r="H946" s="9"/>
    </row>
    <row r="947" ht="15.75" customHeight="1">
      <c r="H947" s="9"/>
    </row>
    <row r="948" ht="15.75" customHeight="1">
      <c r="H948" s="9"/>
    </row>
    <row r="949" ht="15.75" customHeight="1">
      <c r="H949" s="9"/>
    </row>
    <row r="950" ht="15.75" customHeight="1">
      <c r="H950" s="9"/>
    </row>
    <row r="951" ht="15.75" customHeight="1">
      <c r="H951" s="9"/>
    </row>
    <row r="952" ht="15.75" customHeight="1">
      <c r="H952" s="9"/>
    </row>
    <row r="953" ht="15.75" customHeight="1">
      <c r="H953" s="9"/>
    </row>
    <row r="954" ht="15.75" customHeight="1">
      <c r="H954" s="9"/>
    </row>
    <row r="955" ht="15.75" customHeight="1">
      <c r="H955" s="9"/>
    </row>
    <row r="956" ht="15.75" customHeight="1">
      <c r="H956" s="9"/>
    </row>
    <row r="957" ht="15.75" customHeight="1">
      <c r="H957" s="9"/>
    </row>
    <row r="958" ht="15.75" customHeight="1">
      <c r="H958" s="9"/>
    </row>
    <row r="959" ht="15.75" customHeight="1">
      <c r="H959" s="9"/>
    </row>
    <row r="960" ht="15.75" customHeight="1">
      <c r="H960" s="9"/>
    </row>
    <row r="961" ht="15.75" customHeight="1">
      <c r="H961" s="9"/>
    </row>
    <row r="962" ht="15.75" customHeight="1">
      <c r="H962" s="9"/>
    </row>
    <row r="963" ht="15.75" customHeight="1">
      <c r="H963" s="9"/>
    </row>
    <row r="964" ht="15.75" customHeight="1">
      <c r="H964" s="9"/>
    </row>
    <row r="965" ht="15.75" customHeight="1">
      <c r="H965" s="9"/>
    </row>
    <row r="966" ht="15.75" customHeight="1">
      <c r="H966" s="9"/>
    </row>
    <row r="967" ht="15.75" customHeight="1">
      <c r="H967" s="9"/>
    </row>
    <row r="968" ht="15.75" customHeight="1">
      <c r="H968" s="9"/>
    </row>
    <row r="969" ht="15.75" customHeight="1">
      <c r="H969" s="9"/>
    </row>
    <row r="970" ht="15.75" customHeight="1">
      <c r="H970" s="9"/>
    </row>
    <row r="971" ht="15.75" customHeight="1">
      <c r="H971" s="9"/>
    </row>
    <row r="972" ht="15.75" customHeight="1">
      <c r="H972" s="9"/>
    </row>
    <row r="973" ht="15.75" customHeight="1">
      <c r="H973" s="9"/>
    </row>
    <row r="974" ht="15.75" customHeight="1">
      <c r="H974" s="9"/>
    </row>
    <row r="975" ht="15.75" customHeight="1">
      <c r="H975" s="9"/>
    </row>
    <row r="976" ht="15.75" customHeight="1">
      <c r="H976" s="9"/>
    </row>
    <row r="977" ht="15.75" customHeight="1">
      <c r="H977" s="9"/>
    </row>
    <row r="978" ht="15.75" customHeight="1">
      <c r="H978" s="9"/>
    </row>
    <row r="979" ht="15.75" customHeight="1">
      <c r="H979" s="9"/>
    </row>
    <row r="980" ht="15.75" customHeight="1">
      <c r="H980" s="9"/>
    </row>
    <row r="981" ht="15.75" customHeight="1">
      <c r="H981" s="9"/>
    </row>
    <row r="982" ht="15.75" customHeight="1">
      <c r="H982" s="9"/>
    </row>
    <row r="983" ht="15.75" customHeight="1">
      <c r="H983" s="9"/>
    </row>
    <row r="984" ht="15.75" customHeight="1">
      <c r="H984" s="9"/>
    </row>
    <row r="985" ht="15.75" customHeight="1">
      <c r="H985" s="9"/>
    </row>
    <row r="986" ht="15.75" customHeight="1">
      <c r="H986" s="9"/>
    </row>
    <row r="987" ht="15.75" customHeight="1">
      <c r="H987" s="9"/>
    </row>
    <row r="988" ht="15.75" customHeight="1">
      <c r="H988" s="9"/>
    </row>
    <row r="989" ht="15.75" customHeight="1">
      <c r="H989" s="9"/>
    </row>
    <row r="990" ht="15.75" customHeight="1">
      <c r="H990" s="9"/>
    </row>
    <row r="991" ht="15.75" customHeight="1">
      <c r="H991" s="9"/>
    </row>
    <row r="992" ht="15.75" customHeight="1">
      <c r="H992" s="9"/>
    </row>
    <row r="993" ht="15.75" customHeight="1">
      <c r="H993" s="9"/>
    </row>
    <row r="994" ht="15.75" customHeight="1">
      <c r="H994" s="9"/>
    </row>
    <row r="995" ht="15.75" customHeight="1">
      <c r="H995" s="9"/>
    </row>
    <row r="996" ht="15.75" customHeight="1">
      <c r="H996" s="9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43"/>
    <col customWidth="1" min="3" max="3" width="8.71"/>
    <col customWidth="1" min="4" max="4" width="28.43"/>
    <col customWidth="1" min="5" max="5" width="21.86"/>
    <col customWidth="1" min="6" max="6" width="23.0"/>
    <col customWidth="1" min="7" max="7" width="18.57"/>
    <col customWidth="1" min="8" max="8" width="11.29"/>
    <col customWidth="1" min="9" max="9" width="10.86"/>
    <col customWidth="1" min="10" max="10" width="10.71"/>
    <col customWidth="1" min="11" max="11" width="21.14"/>
    <col customWidth="1" min="12" max="12" width="21.0"/>
    <col customWidth="1" min="13" max="13" width="25.14"/>
    <col customWidth="1" min="14" max="14" width="9.86"/>
    <col customWidth="1" min="15" max="15" width="13.57"/>
    <col customWidth="1" min="16" max="16" width="21.0"/>
    <col customWidth="1" min="17" max="17" width="25.14"/>
    <col customWidth="1" min="18" max="20" width="10.71"/>
    <col customWidth="1" min="21" max="21" width="8.71"/>
    <col customWidth="1" min="22" max="22" width="10.71"/>
    <col customWidth="1" min="23" max="23" width="8.71"/>
    <col customWidth="1" min="24" max="24" width="10.71"/>
    <col customWidth="1" min="25" max="26" width="8.71"/>
    <col customWidth="1" min="27" max="27" width="10.71"/>
    <col customWidth="1" min="28" max="40" width="8.71"/>
  </cols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10" t="s">
        <v>25</v>
      </c>
      <c r="Q1" s="11"/>
    </row>
    <row r="2">
      <c r="A2" s="2" t="str">
        <f t="shared" ref="A2:A80" si="1">TEXT($H2,"yyyymmdd")&amp;"-"&amp;$B2
</f>
        <v>20231024-16</v>
      </c>
      <c r="B2" s="1">
        <v>16.0</v>
      </c>
      <c r="C2" s="3">
        <v>46.0</v>
      </c>
      <c r="D2" s="3"/>
      <c r="E2" s="3"/>
      <c r="F2" s="1"/>
      <c r="G2" s="1"/>
      <c r="H2" s="8">
        <v>45223.0</v>
      </c>
      <c r="I2" s="4" t="str">
        <f t="shared" ref="I2:I80" si="2">TEXT(H2,"yyyy-mm")</f>
        <v>2023-10</v>
      </c>
      <c r="J2" s="4"/>
      <c r="K2" s="12" t="s">
        <v>26</v>
      </c>
      <c r="L2" s="13"/>
      <c r="M2" s="14"/>
      <c r="N2" s="15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 t="str">
        <f t="shared" si="1"/>
        <v>20231025-15,8</v>
      </c>
      <c r="B3" s="1">
        <v>15.8</v>
      </c>
      <c r="C3" s="2">
        <v>49.0</v>
      </c>
      <c r="D3" s="2"/>
      <c r="E3" s="2"/>
      <c r="F3" s="1"/>
      <c r="G3" s="1"/>
      <c r="H3" s="8">
        <v>45224.0</v>
      </c>
      <c r="I3" s="4" t="str">
        <f t="shared" si="2"/>
        <v>2023-10</v>
      </c>
      <c r="J3" s="4"/>
      <c r="K3" s="16" t="s">
        <v>27</v>
      </c>
      <c r="L3" s="17" t="s">
        <v>28</v>
      </c>
      <c r="M3" s="17" t="s">
        <v>29</v>
      </c>
      <c r="N3" s="18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" t="str">
        <f t="shared" si="1"/>
        <v>20231026-16,8</v>
      </c>
      <c r="B4" s="1">
        <v>16.8</v>
      </c>
      <c r="C4" s="2">
        <v>56.0</v>
      </c>
      <c r="D4" s="2"/>
      <c r="E4" s="2"/>
      <c r="F4" s="1"/>
      <c r="G4" s="1"/>
      <c r="H4" s="8">
        <v>45225.0</v>
      </c>
      <c r="I4" s="4" t="str">
        <f t="shared" si="2"/>
        <v>2023-10</v>
      </c>
      <c r="J4" s="4"/>
      <c r="K4" s="19">
        <f t="shared" ref="K4:M4" si="3">AVERAGE(D:D)</f>
        <v>2.75</v>
      </c>
      <c r="L4" s="20">
        <f t="shared" si="3"/>
        <v>2.1</v>
      </c>
      <c r="M4" s="20">
        <f t="shared" si="3"/>
        <v>0.57</v>
      </c>
      <c r="N4" s="18"/>
      <c r="O4" s="21"/>
      <c r="P4" s="18"/>
      <c r="Q4" s="22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 t="str">
        <f t="shared" si="1"/>
        <v>20231027-16</v>
      </c>
      <c r="B5" s="1">
        <v>16.0</v>
      </c>
      <c r="C5" s="2">
        <v>47.0</v>
      </c>
      <c r="D5" s="2"/>
      <c r="E5" s="2"/>
      <c r="F5" s="1"/>
      <c r="G5" s="1"/>
      <c r="H5" s="8">
        <v>45226.0</v>
      </c>
      <c r="I5" s="4" t="str">
        <f t="shared" si="2"/>
        <v>2023-10</v>
      </c>
      <c r="J5" s="4"/>
      <c r="K5" s="18"/>
      <c r="L5" s="18"/>
      <c r="M5" s="18"/>
      <c r="N5" s="18"/>
      <c r="O5" s="21"/>
      <c r="P5" s="18"/>
      <c r="Q5" s="22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" t="str">
        <f t="shared" si="1"/>
        <v>20231028-12,8</v>
      </c>
      <c r="B6" s="1">
        <v>12.8</v>
      </c>
      <c r="C6" s="2">
        <v>25.0</v>
      </c>
      <c r="D6" s="2"/>
      <c r="E6" s="2"/>
      <c r="F6" s="1"/>
      <c r="G6" s="1"/>
      <c r="H6" s="8">
        <v>45227.0</v>
      </c>
      <c r="I6" s="4" t="str">
        <f t="shared" si="2"/>
        <v>2023-10</v>
      </c>
      <c r="J6" s="4"/>
      <c r="K6" s="23" t="s">
        <v>30</v>
      </c>
      <c r="L6" s="24" t="s">
        <v>31</v>
      </c>
      <c r="M6" s="25" t="s">
        <v>32</v>
      </c>
      <c r="N6" s="18"/>
      <c r="O6" s="18"/>
      <c r="P6" s="18"/>
      <c r="Q6" s="22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" t="str">
        <f t="shared" si="1"/>
        <v>20231029-12</v>
      </c>
      <c r="B7" s="1">
        <v>12.0</v>
      </c>
      <c r="C7" s="2">
        <v>17.0</v>
      </c>
      <c r="D7" s="2"/>
      <c r="E7" s="2"/>
      <c r="F7" s="1"/>
      <c r="G7" s="1"/>
      <c r="H7" s="8">
        <v>45228.0</v>
      </c>
      <c r="I7" s="4" t="str">
        <f t="shared" si="2"/>
        <v>2023-10</v>
      </c>
      <c r="J7" s="4"/>
      <c r="K7" s="26">
        <f>AVERAGE(C:C)</f>
        <v>43.98333333</v>
      </c>
      <c r="L7" s="20">
        <f>AVERAGE(B:B)</f>
        <v>11.88481013</v>
      </c>
      <c r="M7" s="27">
        <f>AVERAGE(K4:M4)</f>
        <v>1.806666667</v>
      </c>
      <c r="N7" s="18"/>
      <c r="O7" s="18"/>
      <c r="P7" s="18"/>
      <c r="Q7" s="22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 t="str">
        <f t="shared" si="1"/>
        <v>20231030-11,5</v>
      </c>
      <c r="B8" s="1">
        <v>11.5</v>
      </c>
      <c r="C8" s="2">
        <v>13.0</v>
      </c>
      <c r="D8" s="2"/>
      <c r="E8" s="2"/>
      <c r="F8" s="1"/>
      <c r="G8" s="1"/>
      <c r="H8" s="8">
        <v>45229.0</v>
      </c>
      <c r="I8" s="4" t="str">
        <f t="shared" si="2"/>
        <v>2023-10</v>
      </c>
      <c r="J8" s="4"/>
      <c r="K8" s="18"/>
      <c r="L8" s="18"/>
      <c r="M8" s="18"/>
      <c r="N8" s="18"/>
      <c r="O8" s="18"/>
      <c r="P8" s="18"/>
      <c r="Q8" s="22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 t="str">
        <f t="shared" si="1"/>
        <v>20231031-11,4</v>
      </c>
      <c r="B9" s="1">
        <v>11.4</v>
      </c>
      <c r="C9" s="2">
        <v>13.0</v>
      </c>
      <c r="D9" s="2"/>
      <c r="E9" s="2"/>
      <c r="F9" s="1"/>
      <c r="G9" s="1"/>
      <c r="H9" s="8">
        <v>45230.0</v>
      </c>
      <c r="I9" s="4" t="str">
        <f t="shared" si="2"/>
        <v>2023-10</v>
      </c>
      <c r="J9" s="4"/>
      <c r="K9" s="18"/>
      <c r="L9" s="18"/>
      <c r="M9" s="18"/>
      <c r="N9" s="18"/>
      <c r="O9" s="18"/>
      <c r="P9" s="18"/>
      <c r="Q9" s="22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 t="str">
        <f t="shared" si="1"/>
        <v>20231107-11,9</v>
      </c>
      <c r="B10" s="1">
        <v>11.9</v>
      </c>
      <c r="C10" s="1"/>
      <c r="D10" s="1"/>
      <c r="E10" s="1"/>
      <c r="F10" s="1"/>
      <c r="G10" s="1" t="s">
        <v>14</v>
      </c>
      <c r="H10" s="8">
        <v>45237.0</v>
      </c>
      <c r="I10" s="4" t="str">
        <f t="shared" si="2"/>
        <v>2023-11</v>
      </c>
      <c r="J10" s="4"/>
      <c r="K10" s="18"/>
      <c r="L10" s="18"/>
      <c r="M10" s="18"/>
      <c r="N10" s="18"/>
      <c r="O10" s="18"/>
      <c r="P10" s="18"/>
      <c r="Q10" s="22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 t="str">
        <f t="shared" si="1"/>
        <v>20231108-10,5</v>
      </c>
      <c r="B11" s="1">
        <v>10.5</v>
      </c>
      <c r="C11" s="1"/>
      <c r="D11" s="1"/>
      <c r="E11" s="1"/>
      <c r="F11" s="1"/>
      <c r="G11" s="1" t="s">
        <v>15</v>
      </c>
      <c r="H11" s="8">
        <v>45238.0</v>
      </c>
      <c r="I11" s="4" t="str">
        <f t="shared" si="2"/>
        <v>2023-11</v>
      </c>
      <c r="J11" s="4"/>
      <c r="K11" s="18"/>
      <c r="L11" s="18"/>
      <c r="M11" s="18"/>
      <c r="N11" s="18"/>
      <c r="O11" s="18"/>
      <c r="P11" s="18"/>
      <c r="Q11" s="22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 t="str">
        <f t="shared" si="1"/>
        <v>20231109-12</v>
      </c>
      <c r="B12" s="1">
        <v>12.0</v>
      </c>
      <c r="C12" s="1"/>
      <c r="D12" s="1"/>
      <c r="E12" s="1"/>
      <c r="F12" s="1"/>
      <c r="G12" s="1" t="s">
        <v>15</v>
      </c>
      <c r="H12" s="8">
        <v>45239.0</v>
      </c>
      <c r="I12" s="4" t="str">
        <f t="shared" si="2"/>
        <v>2023-11</v>
      </c>
      <c r="J12" s="4"/>
      <c r="K12" s="18"/>
      <c r="L12" s="18"/>
      <c r="M12" s="18"/>
      <c r="N12" s="18"/>
      <c r="O12" s="18"/>
      <c r="P12" s="18"/>
      <c r="Q12" s="22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 t="str">
        <f t="shared" si="1"/>
        <v>20231110-10,9</v>
      </c>
      <c r="B13" s="1">
        <v>10.9</v>
      </c>
      <c r="C13" s="1"/>
      <c r="D13" s="1"/>
      <c r="E13" s="1"/>
      <c r="F13" s="1"/>
      <c r="G13" s="1" t="s">
        <v>15</v>
      </c>
      <c r="H13" s="8">
        <v>45240.0</v>
      </c>
      <c r="I13" s="4" t="str">
        <f t="shared" si="2"/>
        <v>2023-11</v>
      </c>
      <c r="J13" s="4"/>
      <c r="K13" s="18"/>
      <c r="L13" s="18"/>
      <c r="M13" s="18"/>
      <c r="N13" s="18"/>
      <c r="O13" s="18"/>
      <c r="P13" s="18"/>
      <c r="Q13" s="22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 t="str">
        <f t="shared" si="1"/>
        <v>20231111-10,6</v>
      </c>
      <c r="B14" s="1">
        <v>10.6</v>
      </c>
      <c r="C14" s="1"/>
      <c r="D14" s="1"/>
      <c r="E14" s="1"/>
      <c r="F14" s="1"/>
      <c r="G14" s="1" t="s">
        <v>14</v>
      </c>
      <c r="H14" s="8">
        <v>45241.0</v>
      </c>
      <c r="I14" s="4" t="str">
        <f t="shared" si="2"/>
        <v>2023-11</v>
      </c>
      <c r="J14" s="4"/>
      <c r="K14" s="18"/>
      <c r="L14" s="18"/>
      <c r="M14" s="18"/>
      <c r="N14" s="18"/>
      <c r="O14" s="18"/>
      <c r="P14" s="18"/>
      <c r="Q14" s="22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 t="str">
        <f t="shared" si="1"/>
        <v>20231112-10,9</v>
      </c>
      <c r="B15" s="1">
        <v>10.9</v>
      </c>
      <c r="C15" s="1"/>
      <c r="D15" s="1"/>
      <c r="E15" s="1"/>
      <c r="F15" s="1"/>
      <c r="G15" s="1" t="s">
        <v>15</v>
      </c>
      <c r="H15" s="8">
        <v>45242.0</v>
      </c>
      <c r="I15" s="4" t="str">
        <f t="shared" si="2"/>
        <v>2023-11</v>
      </c>
      <c r="J15" s="4"/>
      <c r="K15" s="18"/>
      <c r="L15" s="18"/>
      <c r="M15" s="18"/>
      <c r="N15" s="18"/>
      <c r="O15" s="18"/>
      <c r="P15" s="18"/>
      <c r="Q15" s="22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 t="str">
        <f t="shared" si="1"/>
        <v>20231113-7,5</v>
      </c>
      <c r="B16" s="1">
        <v>7.5</v>
      </c>
      <c r="C16" s="1"/>
      <c r="D16" s="1"/>
      <c r="E16" s="1"/>
      <c r="F16" s="1"/>
      <c r="G16" s="1" t="s">
        <v>15</v>
      </c>
      <c r="H16" s="8">
        <v>45243.0</v>
      </c>
      <c r="I16" s="4" t="str">
        <f t="shared" si="2"/>
        <v>2023-11</v>
      </c>
      <c r="J16" s="4"/>
      <c r="K16" s="18"/>
      <c r="L16" s="18"/>
      <c r="M16" s="18"/>
      <c r="N16" s="18"/>
      <c r="O16" s="18"/>
      <c r="P16" s="18"/>
      <c r="Q16" s="22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" t="str">
        <f t="shared" si="1"/>
        <v>20231114-13,3</v>
      </c>
      <c r="B17" s="1">
        <v>13.3</v>
      </c>
      <c r="C17" s="1"/>
      <c r="D17" s="2"/>
      <c r="E17" s="5"/>
      <c r="F17" s="5"/>
      <c r="G17" s="5" t="s">
        <v>16</v>
      </c>
      <c r="H17" s="8">
        <v>45244.0</v>
      </c>
      <c r="I17" s="4" t="str">
        <f t="shared" si="2"/>
        <v>2023-11</v>
      </c>
      <c r="J17" s="4"/>
      <c r="K17" s="18"/>
      <c r="L17" s="18"/>
      <c r="M17" s="18"/>
      <c r="N17" s="18"/>
      <c r="O17" s="18"/>
      <c r="P17" s="18"/>
      <c r="Q17" s="22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" t="str">
        <f t="shared" si="1"/>
        <v>20231115-12</v>
      </c>
      <c r="B18" s="1">
        <v>12.0</v>
      </c>
      <c r="C18" s="1"/>
      <c r="D18" s="1"/>
      <c r="E18" s="1"/>
      <c r="F18" s="1"/>
      <c r="G18" s="1" t="s">
        <v>14</v>
      </c>
      <c r="H18" s="8">
        <v>45245.0</v>
      </c>
      <c r="I18" s="4" t="str">
        <f t="shared" si="2"/>
        <v>2023-11</v>
      </c>
      <c r="J18" s="4"/>
      <c r="K18" s="18"/>
      <c r="L18" s="18"/>
      <c r="M18" s="18"/>
      <c r="N18" s="18"/>
      <c r="O18" s="18"/>
      <c r="P18" s="18"/>
      <c r="Q18" s="22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2" t="str">
        <f t="shared" si="1"/>
        <v>20231116-10,5</v>
      </c>
      <c r="B19" s="1">
        <v>10.5</v>
      </c>
      <c r="C19" s="1"/>
      <c r="D19" s="1"/>
      <c r="E19" s="1"/>
      <c r="F19" s="1"/>
      <c r="G19" s="1" t="s">
        <v>15</v>
      </c>
      <c r="H19" s="8">
        <v>45246.0</v>
      </c>
      <c r="I19" s="4" t="str">
        <f t="shared" si="2"/>
        <v>2023-11</v>
      </c>
      <c r="J19" s="4"/>
      <c r="K19" s="18"/>
      <c r="L19" s="18"/>
      <c r="M19" s="18"/>
      <c r="N19" s="18"/>
      <c r="O19" s="18"/>
      <c r="P19" s="18"/>
      <c r="Q19" s="22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2" t="str">
        <f t="shared" si="1"/>
        <v>20231117-11,5</v>
      </c>
      <c r="B20" s="1">
        <v>11.5</v>
      </c>
      <c r="C20" s="1"/>
      <c r="D20" s="1"/>
      <c r="E20" s="1"/>
      <c r="F20" s="1"/>
      <c r="G20" s="1" t="s">
        <v>15</v>
      </c>
      <c r="H20" s="8">
        <v>45247.0</v>
      </c>
      <c r="I20" s="4" t="str">
        <f t="shared" si="2"/>
        <v>2023-11</v>
      </c>
      <c r="J20" s="4"/>
      <c r="K20" s="18"/>
      <c r="L20" s="18"/>
      <c r="M20" s="18"/>
      <c r="N20" s="18"/>
      <c r="O20" s="18"/>
      <c r="P20" s="18"/>
      <c r="Q20" s="22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2" t="str">
        <f t="shared" si="1"/>
        <v>20231118-10,5</v>
      </c>
      <c r="B21" s="1">
        <v>10.5</v>
      </c>
      <c r="C21" s="1"/>
      <c r="D21" s="2"/>
      <c r="E21" s="1"/>
      <c r="F21" s="1"/>
      <c r="G21" s="1" t="s">
        <v>14</v>
      </c>
      <c r="H21" s="8">
        <v>45248.0</v>
      </c>
      <c r="I21" s="4" t="str">
        <f t="shared" si="2"/>
        <v>2023-11</v>
      </c>
      <c r="J21" s="4"/>
      <c r="K21" s="18"/>
      <c r="L21" s="18"/>
      <c r="M21" s="18"/>
      <c r="N21" s="18"/>
      <c r="O21" s="18"/>
      <c r="P21" s="18"/>
      <c r="Q21" s="22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2" t="str">
        <f t="shared" si="1"/>
        <v>20231119-10,2</v>
      </c>
      <c r="B22" s="1">
        <v>10.2</v>
      </c>
      <c r="C22" s="1"/>
      <c r="D22" s="1"/>
      <c r="E22" s="1"/>
      <c r="F22" s="1"/>
      <c r="G22" s="1" t="s">
        <v>15</v>
      </c>
      <c r="H22" s="8">
        <v>45249.0</v>
      </c>
      <c r="I22" s="4" t="str">
        <f t="shared" si="2"/>
        <v>2023-11</v>
      </c>
      <c r="J22" s="4"/>
      <c r="K22" s="18"/>
      <c r="L22" s="18"/>
      <c r="M22" s="18"/>
      <c r="N22" s="18"/>
      <c r="O22" s="18"/>
      <c r="P22" s="18"/>
      <c r="Q22" s="22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2" t="str">
        <f t="shared" si="1"/>
        <v>20231120-11,5</v>
      </c>
      <c r="B23" s="1">
        <v>11.5</v>
      </c>
      <c r="C23" s="1"/>
      <c r="D23" s="1"/>
      <c r="E23" s="1"/>
      <c r="F23" s="1"/>
      <c r="G23" s="1" t="s">
        <v>14</v>
      </c>
      <c r="H23" s="8">
        <v>45250.0</v>
      </c>
      <c r="I23" s="4" t="str">
        <f t="shared" si="2"/>
        <v>2023-11</v>
      </c>
      <c r="J23" s="4"/>
      <c r="K23" s="18"/>
      <c r="L23" s="18"/>
      <c r="M23" s="18"/>
      <c r="N23" s="18"/>
      <c r="O23" s="18"/>
      <c r="P23" s="18"/>
      <c r="Q23" s="22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2" t="str">
        <f t="shared" si="1"/>
        <v>20231121-13,4</v>
      </c>
      <c r="B24" s="1">
        <v>13.4</v>
      </c>
      <c r="C24" s="1"/>
      <c r="D24" s="2"/>
      <c r="E24" s="1"/>
      <c r="F24" s="1"/>
      <c r="G24" s="1" t="s">
        <v>14</v>
      </c>
      <c r="H24" s="8">
        <v>45251.0</v>
      </c>
      <c r="I24" s="4" t="str">
        <f t="shared" si="2"/>
        <v>2023-11</v>
      </c>
      <c r="J24" s="4"/>
      <c r="K24" s="18"/>
      <c r="L24" s="18"/>
      <c r="M24" s="18"/>
      <c r="N24" s="18"/>
      <c r="O24" s="18"/>
      <c r="P24" s="18"/>
      <c r="Q24" s="22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2" t="str">
        <f t="shared" si="1"/>
        <v>20240225-16,5</v>
      </c>
      <c r="B25" s="1">
        <v>16.5</v>
      </c>
      <c r="C25" s="1">
        <v>65.5</v>
      </c>
      <c r="D25" s="1"/>
      <c r="E25" s="1"/>
      <c r="F25" s="1"/>
      <c r="G25" s="1"/>
      <c r="H25" s="8">
        <v>45347.0</v>
      </c>
      <c r="I25" s="4" t="str">
        <f t="shared" si="2"/>
        <v>2024-02</v>
      </c>
      <c r="J25" s="4"/>
      <c r="K25" s="18"/>
      <c r="L25" s="18"/>
      <c r="M25" s="18"/>
      <c r="N25" s="18"/>
      <c r="O25" s="18"/>
      <c r="P25" s="18"/>
      <c r="Q25" s="22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2" t="str">
        <f t="shared" si="1"/>
        <v>20240226-17</v>
      </c>
      <c r="B26" s="1">
        <v>17.0</v>
      </c>
      <c r="C26" s="1">
        <v>71.7</v>
      </c>
      <c r="D26" s="1"/>
      <c r="E26" s="1"/>
      <c r="F26" s="1"/>
      <c r="G26" s="1"/>
      <c r="H26" s="8">
        <v>45348.0</v>
      </c>
      <c r="I26" s="4" t="str">
        <f t="shared" si="2"/>
        <v>2024-02</v>
      </c>
      <c r="J26" s="4"/>
      <c r="K26" s="18"/>
      <c r="L26" s="18"/>
      <c r="M26" s="18"/>
      <c r="N26" s="18"/>
      <c r="O26" s="18"/>
      <c r="P26" s="18"/>
      <c r="Q26" s="22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2" t="str">
        <f t="shared" si="1"/>
        <v>20240227-17</v>
      </c>
      <c r="B27" s="1">
        <v>17.0</v>
      </c>
      <c r="C27" s="1">
        <v>72.1</v>
      </c>
      <c r="D27" s="1"/>
      <c r="E27" s="1"/>
      <c r="F27" s="1"/>
      <c r="G27" s="1"/>
      <c r="H27" s="8">
        <v>45349.0</v>
      </c>
      <c r="I27" s="4" t="str">
        <f t="shared" si="2"/>
        <v>2024-02</v>
      </c>
      <c r="J27" s="4"/>
      <c r="K27" s="18"/>
      <c r="L27" s="18"/>
      <c r="M27" s="18"/>
      <c r="N27" s="18"/>
      <c r="O27" s="18"/>
      <c r="P27" s="18"/>
      <c r="Q27" s="22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2" t="str">
        <f t="shared" si="1"/>
        <v>20240228-15,5</v>
      </c>
      <c r="B28" s="1">
        <v>15.5</v>
      </c>
      <c r="C28" s="1">
        <v>52.5</v>
      </c>
      <c r="D28" s="1"/>
      <c r="E28" s="1"/>
      <c r="F28" s="1"/>
      <c r="G28" s="1"/>
      <c r="H28" s="8">
        <v>45350.0</v>
      </c>
      <c r="I28" s="4" t="str">
        <f t="shared" si="2"/>
        <v>2024-02</v>
      </c>
      <c r="J28" s="4"/>
      <c r="K28" s="18"/>
      <c r="L28" s="18"/>
      <c r="M28" s="18"/>
      <c r="N28" s="18"/>
      <c r="O28" s="18"/>
      <c r="P28" s="18"/>
      <c r="Q28" s="22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2" t="str">
        <f t="shared" si="1"/>
        <v>20240325-11,5</v>
      </c>
      <c r="B29" s="1">
        <v>11.5</v>
      </c>
      <c r="C29" s="1"/>
      <c r="D29" s="1">
        <v>2.7</v>
      </c>
      <c r="E29" s="1">
        <v>2.0</v>
      </c>
      <c r="F29" s="1">
        <v>0.8</v>
      </c>
      <c r="G29" s="1"/>
      <c r="H29" s="8">
        <v>45376.0</v>
      </c>
      <c r="I29" s="4" t="str">
        <f t="shared" si="2"/>
        <v>2024-03</v>
      </c>
      <c r="J29" s="4"/>
      <c r="K29" s="18"/>
      <c r="L29" s="18"/>
      <c r="M29" s="18"/>
      <c r="N29" s="18"/>
      <c r="O29" s="18"/>
      <c r="P29" s="18"/>
      <c r="Q29" s="22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2" t="str">
        <f t="shared" si="1"/>
        <v>20240326-11,4</v>
      </c>
      <c r="B30" s="1">
        <v>11.4</v>
      </c>
      <c r="C30" s="1"/>
      <c r="D30" s="1">
        <v>2.8</v>
      </c>
      <c r="E30" s="1">
        <v>1.9</v>
      </c>
      <c r="F30" s="1">
        <v>0.6</v>
      </c>
      <c r="G30" s="1"/>
      <c r="H30" s="8">
        <v>45377.0</v>
      </c>
      <c r="I30" s="4" t="str">
        <f t="shared" si="2"/>
        <v>2024-03</v>
      </c>
      <c r="J30" s="4"/>
      <c r="K30" s="18"/>
      <c r="L30" s="18"/>
      <c r="M30" s="18"/>
      <c r="N30" s="18"/>
      <c r="O30" s="18"/>
      <c r="P30" s="18"/>
      <c r="Q30" s="22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2" t="str">
        <f t="shared" si="1"/>
        <v>20240327-11,3</v>
      </c>
      <c r="B31" s="1">
        <v>11.3</v>
      </c>
      <c r="C31" s="1"/>
      <c r="D31" s="1">
        <v>2.4</v>
      </c>
      <c r="E31" s="1">
        <v>2.0</v>
      </c>
      <c r="F31" s="1">
        <v>0.7</v>
      </c>
      <c r="G31" s="1"/>
      <c r="H31" s="8">
        <v>45378.0</v>
      </c>
      <c r="I31" s="4" t="str">
        <f t="shared" si="2"/>
        <v>2024-03</v>
      </c>
      <c r="J31" s="4"/>
      <c r="K31" s="18"/>
      <c r="L31" s="18"/>
      <c r="M31" s="18"/>
      <c r="N31" s="18"/>
      <c r="O31" s="18"/>
      <c r="P31" s="18"/>
      <c r="Q31" s="22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2" t="str">
        <f t="shared" si="1"/>
        <v>20240328-12</v>
      </c>
      <c r="B32" s="1">
        <v>12.0</v>
      </c>
      <c r="C32" s="1"/>
      <c r="D32" s="1">
        <v>3.0</v>
      </c>
      <c r="E32" s="1">
        <v>2.1</v>
      </c>
      <c r="F32" s="1">
        <v>0.7</v>
      </c>
      <c r="G32" s="1"/>
      <c r="H32" s="8">
        <v>45379.0</v>
      </c>
      <c r="I32" s="4" t="str">
        <f t="shared" si="2"/>
        <v>2024-03</v>
      </c>
      <c r="J32" s="4"/>
      <c r="K32" s="18"/>
      <c r="L32" s="18"/>
      <c r="M32" s="18"/>
      <c r="N32" s="18"/>
      <c r="O32" s="18"/>
      <c r="P32" s="18"/>
      <c r="Q32" s="22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2" t="str">
        <f t="shared" si="1"/>
        <v>20240329-13,5</v>
      </c>
      <c r="B33" s="1">
        <v>13.5</v>
      </c>
      <c r="C33" s="1"/>
      <c r="D33" s="1">
        <v>3.0</v>
      </c>
      <c r="E33" s="1">
        <v>2.2</v>
      </c>
      <c r="F33" s="1">
        <v>0.6</v>
      </c>
      <c r="G33" s="1"/>
      <c r="H33" s="8">
        <v>45380.0</v>
      </c>
      <c r="I33" s="4" t="str">
        <f t="shared" si="2"/>
        <v>2024-03</v>
      </c>
      <c r="J33" s="4"/>
      <c r="K33" s="18"/>
      <c r="L33" s="18"/>
      <c r="M33" s="18"/>
      <c r="N33" s="18"/>
      <c r="O33" s="18"/>
      <c r="P33" s="18"/>
      <c r="Q33" s="22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2" t="str">
        <f t="shared" si="1"/>
        <v>20240330-11,3</v>
      </c>
      <c r="B34" s="1">
        <v>11.3</v>
      </c>
      <c r="C34" s="1"/>
      <c r="D34" s="1">
        <v>3.8</v>
      </c>
      <c r="E34" s="1">
        <v>2.9</v>
      </c>
      <c r="F34" s="1">
        <v>0.4</v>
      </c>
      <c r="G34" s="1"/>
      <c r="H34" s="8">
        <v>45381.0</v>
      </c>
      <c r="I34" s="4" t="str">
        <f t="shared" si="2"/>
        <v>2024-03</v>
      </c>
      <c r="J34" s="4"/>
      <c r="K34" s="18"/>
      <c r="L34" s="18"/>
      <c r="M34" s="18"/>
      <c r="N34" s="18"/>
      <c r="O34" s="18"/>
      <c r="P34" s="18"/>
      <c r="Q34" s="22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2" t="str">
        <f t="shared" si="1"/>
        <v>20240331-9,5</v>
      </c>
      <c r="B35" s="1">
        <v>9.5</v>
      </c>
      <c r="C35" s="1"/>
      <c r="D35" s="1"/>
      <c r="E35" s="1"/>
      <c r="F35" s="1"/>
      <c r="G35" s="1"/>
      <c r="H35" s="8">
        <v>45382.0</v>
      </c>
      <c r="I35" s="4" t="str">
        <f t="shared" si="2"/>
        <v>2024-03</v>
      </c>
      <c r="J35" s="4"/>
      <c r="K35" s="18"/>
      <c r="L35" s="18"/>
      <c r="M35" s="18"/>
      <c r="N35" s="18"/>
      <c r="O35" s="18"/>
      <c r="P35" s="18"/>
      <c r="Q35" s="22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2" t="str">
        <f t="shared" si="1"/>
        <v>20240401-13,5</v>
      </c>
      <c r="B36" s="1">
        <v>13.5</v>
      </c>
      <c r="C36" s="1"/>
      <c r="D36" s="1">
        <v>3.0</v>
      </c>
      <c r="E36" s="1">
        <v>2.5</v>
      </c>
      <c r="F36" s="1">
        <v>0.8</v>
      </c>
      <c r="G36" s="1"/>
      <c r="H36" s="8">
        <v>45383.0</v>
      </c>
      <c r="I36" s="4" t="str">
        <f t="shared" si="2"/>
        <v>2024-04</v>
      </c>
      <c r="J36" s="4"/>
      <c r="K36" s="18"/>
      <c r="L36" s="18"/>
      <c r="M36" s="18"/>
      <c r="N36" s="18"/>
      <c r="O36" s="18"/>
      <c r="P36" s="18"/>
      <c r="Q36" s="22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2" t="str">
        <f t="shared" si="1"/>
        <v>20240402-12</v>
      </c>
      <c r="B37" s="1">
        <v>12.0</v>
      </c>
      <c r="C37" s="1"/>
      <c r="D37" s="1">
        <v>2.8</v>
      </c>
      <c r="E37" s="1">
        <v>2.0</v>
      </c>
      <c r="F37" s="1">
        <v>0.5</v>
      </c>
      <c r="G37" s="1"/>
      <c r="H37" s="8">
        <v>45384.0</v>
      </c>
      <c r="I37" s="4" t="str">
        <f t="shared" si="2"/>
        <v>2024-04</v>
      </c>
      <c r="J37" s="4"/>
      <c r="K37" s="18"/>
      <c r="L37" s="18"/>
      <c r="M37" s="18"/>
      <c r="N37" s="18"/>
      <c r="O37" s="18"/>
      <c r="P37" s="18"/>
      <c r="Q37" s="22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2" t="str">
        <f t="shared" si="1"/>
        <v>20240403-8,5</v>
      </c>
      <c r="B38" s="1">
        <v>8.5</v>
      </c>
      <c r="C38" s="1"/>
      <c r="D38" s="1">
        <v>2.0</v>
      </c>
      <c r="E38" s="1">
        <v>1.9</v>
      </c>
      <c r="F38" s="1">
        <v>0.3</v>
      </c>
      <c r="G38" s="1"/>
      <c r="H38" s="8">
        <v>45385.0</v>
      </c>
      <c r="I38" s="4" t="str">
        <f t="shared" si="2"/>
        <v>2024-04</v>
      </c>
      <c r="J38" s="4"/>
      <c r="K38" s="18"/>
      <c r="L38" s="18"/>
      <c r="M38" s="18"/>
      <c r="N38" s="18"/>
      <c r="O38" s="18"/>
      <c r="P38" s="18"/>
      <c r="Q38" s="22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2" t="str">
        <f t="shared" si="1"/>
        <v>20240404-7,5</v>
      </c>
      <c r="B39" s="1">
        <v>7.5</v>
      </c>
      <c r="C39" s="1"/>
      <c r="D39" s="1">
        <v>2.0</v>
      </c>
      <c r="E39" s="1">
        <v>1.5</v>
      </c>
      <c r="F39" s="1">
        <v>0.3</v>
      </c>
      <c r="G39" s="1"/>
      <c r="H39" s="8">
        <v>45386.0</v>
      </c>
      <c r="I39" s="4" t="str">
        <f t="shared" si="2"/>
        <v>2024-04</v>
      </c>
      <c r="J39" s="4"/>
      <c r="K39" s="18"/>
      <c r="L39" s="18"/>
      <c r="M39" s="18"/>
      <c r="N39" s="18"/>
      <c r="O39" s="18"/>
      <c r="P39" s="18"/>
      <c r="Q39" s="22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2" t="str">
        <f t="shared" si="1"/>
        <v>20240405-7,5</v>
      </c>
      <c r="B40" s="1">
        <v>7.5</v>
      </c>
      <c r="C40" s="1"/>
      <c r="D40" s="2"/>
      <c r="E40" s="2"/>
      <c r="F40" s="1"/>
      <c r="G40" s="1"/>
      <c r="H40" s="8">
        <v>45387.0</v>
      </c>
      <c r="I40" s="4" t="str">
        <f t="shared" si="2"/>
        <v>2024-04</v>
      </c>
      <c r="J40" s="4"/>
      <c r="K40" s="18"/>
      <c r="L40" s="18"/>
      <c r="M40" s="18"/>
      <c r="N40" s="18"/>
      <c r="O40" s="18"/>
      <c r="P40" s="18"/>
      <c r="Q40" s="22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2" t="str">
        <f t="shared" si="1"/>
        <v>20240406-12</v>
      </c>
      <c r="B41" s="1">
        <v>12.0</v>
      </c>
      <c r="C41" s="1"/>
      <c r="D41" s="2"/>
      <c r="E41" s="2"/>
      <c r="F41" s="1"/>
      <c r="G41" s="1"/>
      <c r="H41" s="8">
        <v>45388.0</v>
      </c>
      <c r="I41" s="4" t="str">
        <f t="shared" si="2"/>
        <v>2024-04</v>
      </c>
      <c r="J41" s="4"/>
      <c r="K41" s="18"/>
      <c r="L41" s="18"/>
      <c r="M41" s="18"/>
      <c r="N41" s="18"/>
      <c r="O41" s="18"/>
      <c r="P41" s="18"/>
      <c r="Q41" s="22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2" t="str">
        <f t="shared" si="1"/>
        <v>20240407-13</v>
      </c>
      <c r="B42" s="1">
        <v>13.0</v>
      </c>
      <c r="C42" s="1"/>
      <c r="D42" s="2"/>
      <c r="E42" s="2"/>
      <c r="F42" s="1"/>
      <c r="G42" s="1"/>
      <c r="H42" s="8">
        <v>45389.0</v>
      </c>
      <c r="I42" s="4" t="str">
        <f t="shared" si="2"/>
        <v>2024-04</v>
      </c>
      <c r="J42" s="4"/>
      <c r="K42" s="18"/>
      <c r="L42" s="18"/>
      <c r="M42" s="18"/>
      <c r="N42" s="18"/>
      <c r="O42" s="18"/>
      <c r="P42" s="18"/>
      <c r="Q42" s="22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2" t="str">
        <f t="shared" si="1"/>
        <v>20240408-12,5</v>
      </c>
      <c r="B43" s="1">
        <v>12.5</v>
      </c>
      <c r="C43" s="1"/>
      <c r="D43" s="4"/>
      <c r="E43" s="4"/>
      <c r="F43" s="1"/>
      <c r="G43" s="1"/>
      <c r="H43" s="8">
        <v>45390.0</v>
      </c>
      <c r="I43" s="4" t="str">
        <f t="shared" si="2"/>
        <v>2024-04</v>
      </c>
      <c r="J43" s="4"/>
      <c r="K43" s="18"/>
      <c r="L43" s="18"/>
      <c r="M43" s="18"/>
      <c r="N43" s="18"/>
      <c r="O43" s="18"/>
      <c r="P43" s="18"/>
      <c r="Q43" s="22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2" t="str">
        <f t="shared" si="1"/>
        <v>20240409-11,5</v>
      </c>
      <c r="B44" s="1">
        <v>11.5</v>
      </c>
      <c r="C44" s="1"/>
      <c r="D44" s="1"/>
      <c r="E44" s="1"/>
      <c r="F44" s="1"/>
      <c r="G44" s="1"/>
      <c r="H44" s="8">
        <v>45391.0</v>
      </c>
      <c r="I44" s="4" t="str">
        <f t="shared" si="2"/>
        <v>2024-04</v>
      </c>
      <c r="J44" s="4"/>
      <c r="K44" s="18"/>
      <c r="L44" s="18"/>
      <c r="M44" s="18"/>
      <c r="N44" s="18"/>
      <c r="O44" s="18"/>
      <c r="P44" s="18"/>
      <c r="Q44" s="22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2" t="str">
        <f t="shared" si="1"/>
        <v>20240410-13</v>
      </c>
      <c r="B45" s="1">
        <v>13.0</v>
      </c>
      <c r="C45" s="1"/>
      <c r="D45" s="1"/>
      <c r="E45" s="1"/>
      <c r="F45" s="1"/>
      <c r="G45" s="1"/>
      <c r="H45" s="8">
        <v>45392.0</v>
      </c>
      <c r="I45" s="4" t="str">
        <f t="shared" si="2"/>
        <v>2024-04</v>
      </c>
      <c r="J45" s="4"/>
      <c r="K45" s="18"/>
      <c r="L45" s="18"/>
      <c r="M45" s="18"/>
      <c r="N45" s="18"/>
      <c r="O45" s="18"/>
      <c r="P45" s="18"/>
      <c r="Q45" s="22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2" t="str">
        <f t="shared" si="1"/>
        <v>20240411-11,5</v>
      </c>
      <c r="B46" s="1">
        <v>11.5</v>
      </c>
      <c r="C46" s="1"/>
      <c r="D46" s="2"/>
      <c r="E46" s="2"/>
      <c r="F46" s="1"/>
      <c r="G46" s="1"/>
      <c r="H46" s="8">
        <v>45393.0</v>
      </c>
      <c r="I46" s="4" t="str">
        <f t="shared" si="2"/>
        <v>2024-04</v>
      </c>
      <c r="J46" s="4"/>
      <c r="K46" s="18"/>
      <c r="L46" s="18"/>
      <c r="M46" s="18"/>
      <c r="N46" s="18"/>
      <c r="O46" s="18"/>
      <c r="P46" s="18"/>
      <c r="Q46" s="22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2" t="str">
        <f t="shared" si="1"/>
        <v>20240412-11</v>
      </c>
      <c r="B47" s="1">
        <v>11.0</v>
      </c>
      <c r="C47" s="1"/>
      <c r="D47" s="2"/>
      <c r="E47" s="2"/>
      <c r="F47" s="1"/>
      <c r="G47" s="1"/>
      <c r="H47" s="8">
        <v>45394.0</v>
      </c>
      <c r="I47" s="4" t="str">
        <f t="shared" si="2"/>
        <v>2024-04</v>
      </c>
      <c r="J47" s="4"/>
      <c r="K47" s="18"/>
      <c r="L47" s="18"/>
      <c r="M47" s="18"/>
      <c r="N47" s="18"/>
      <c r="O47" s="18"/>
      <c r="P47" s="18"/>
      <c r="Q47" s="22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2" t="str">
        <f t="shared" si="1"/>
        <v>20240413-13,5</v>
      </c>
      <c r="B48" s="1">
        <v>13.5</v>
      </c>
      <c r="C48" s="1"/>
      <c r="D48" s="2"/>
      <c r="E48" s="2"/>
      <c r="F48" s="1"/>
      <c r="G48" s="1"/>
      <c r="H48" s="8">
        <v>45395.0</v>
      </c>
      <c r="I48" s="4" t="str">
        <f t="shared" si="2"/>
        <v>2024-04</v>
      </c>
      <c r="J48" s="4"/>
      <c r="K48" s="18"/>
      <c r="L48" s="18"/>
      <c r="M48" s="18"/>
      <c r="N48" s="18"/>
      <c r="O48" s="18"/>
      <c r="P48" s="18"/>
      <c r="Q48" s="22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2" t="str">
        <f t="shared" si="1"/>
        <v>20240414-11</v>
      </c>
      <c r="B49" s="1">
        <v>11.0</v>
      </c>
      <c r="C49" s="1"/>
      <c r="D49" s="2"/>
      <c r="E49" s="2"/>
      <c r="F49" s="1"/>
      <c r="G49" s="1"/>
      <c r="H49" s="8">
        <v>45396.0</v>
      </c>
      <c r="I49" s="4" t="str">
        <f t="shared" si="2"/>
        <v>2024-04</v>
      </c>
      <c r="J49" s="4"/>
      <c r="K49" s="18"/>
      <c r="L49" s="18"/>
      <c r="M49" s="18"/>
      <c r="N49" s="18"/>
      <c r="O49" s="18"/>
      <c r="P49" s="18"/>
      <c r="Q49" s="22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2" t="str">
        <f t="shared" si="1"/>
        <v>20240415-12</v>
      </c>
      <c r="B50" s="1">
        <v>12.0</v>
      </c>
      <c r="C50" s="1"/>
      <c r="D50" s="2"/>
      <c r="E50" s="2"/>
      <c r="F50" s="1"/>
      <c r="G50" s="1"/>
      <c r="H50" s="8">
        <v>45397.0</v>
      </c>
      <c r="I50" s="4" t="str">
        <f t="shared" si="2"/>
        <v>2024-04</v>
      </c>
      <c r="J50" s="4"/>
      <c r="K50" s="18"/>
      <c r="L50" s="18"/>
      <c r="M50" s="18"/>
      <c r="N50" s="18"/>
      <c r="O50" s="18"/>
      <c r="P50" s="18"/>
      <c r="Q50" s="22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2" t="str">
        <f t="shared" si="1"/>
        <v>20240416-14,2</v>
      </c>
      <c r="B51" s="1">
        <v>14.2</v>
      </c>
      <c r="C51" s="1"/>
      <c r="D51" s="1"/>
      <c r="E51" s="1"/>
      <c r="F51" s="1"/>
      <c r="G51" s="1"/>
      <c r="H51" s="8">
        <v>45398.0</v>
      </c>
      <c r="I51" s="4" t="str">
        <f t="shared" si="2"/>
        <v>2024-04</v>
      </c>
      <c r="J51" s="4"/>
      <c r="K51" s="18"/>
      <c r="L51" s="18"/>
      <c r="M51" s="18"/>
      <c r="N51" s="18"/>
      <c r="O51" s="18"/>
      <c r="P51" s="18"/>
      <c r="Q51" s="22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2" t="str">
        <f t="shared" si="1"/>
        <v>20240417-11,1</v>
      </c>
      <c r="B52" s="1">
        <v>11.1</v>
      </c>
      <c r="C52" s="1"/>
      <c r="D52" s="1"/>
      <c r="E52" s="1"/>
      <c r="F52" s="1"/>
      <c r="G52" s="1"/>
      <c r="H52" s="8">
        <v>45399.0</v>
      </c>
      <c r="I52" s="4" t="str">
        <f t="shared" si="2"/>
        <v>2024-04</v>
      </c>
      <c r="J52" s="4"/>
      <c r="K52" s="18"/>
      <c r="L52" s="18"/>
      <c r="M52" s="18"/>
      <c r="N52" s="18"/>
      <c r="O52" s="18"/>
      <c r="P52" s="18"/>
      <c r="Q52" s="22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2" t="str">
        <f t="shared" si="1"/>
        <v>20240418-11,7</v>
      </c>
      <c r="B53" s="1">
        <v>11.7</v>
      </c>
      <c r="C53" s="1"/>
      <c r="D53" s="2"/>
      <c r="E53" s="2"/>
      <c r="F53" s="1"/>
      <c r="G53" s="1"/>
      <c r="H53" s="8">
        <v>45400.0</v>
      </c>
      <c r="I53" s="4" t="str">
        <f t="shared" si="2"/>
        <v>2024-04</v>
      </c>
      <c r="J53" s="4"/>
      <c r="K53" s="18"/>
      <c r="L53" s="18"/>
      <c r="M53" s="18"/>
      <c r="N53" s="18"/>
      <c r="O53" s="18"/>
      <c r="P53" s="18"/>
      <c r="Q53" s="22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2" t="str">
        <f t="shared" si="1"/>
        <v>20240419-12</v>
      </c>
      <c r="B54" s="1">
        <v>12.0</v>
      </c>
      <c r="C54" s="1"/>
      <c r="D54" s="2"/>
      <c r="E54" s="2"/>
      <c r="F54" s="1"/>
      <c r="G54" s="1"/>
      <c r="H54" s="8">
        <v>45401.0</v>
      </c>
      <c r="I54" s="4" t="str">
        <f t="shared" si="2"/>
        <v>2024-04</v>
      </c>
      <c r="J54" s="4"/>
      <c r="K54" s="18"/>
      <c r="L54" s="18"/>
      <c r="M54" s="18"/>
      <c r="N54" s="18"/>
      <c r="O54" s="18"/>
      <c r="P54" s="18"/>
      <c r="Q54" s="22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2" t="str">
        <f t="shared" si="1"/>
        <v>20240420-11</v>
      </c>
      <c r="B55" s="1">
        <v>11.0</v>
      </c>
      <c r="C55" s="1"/>
      <c r="D55" s="2"/>
      <c r="E55" s="2"/>
      <c r="F55" s="1"/>
      <c r="G55" s="1"/>
      <c r="H55" s="8">
        <v>45402.0</v>
      </c>
      <c r="I55" s="4" t="str">
        <f t="shared" si="2"/>
        <v>2024-04</v>
      </c>
      <c r="J55" s="4"/>
      <c r="K55" s="18"/>
      <c r="L55" s="18"/>
      <c r="M55" s="18"/>
      <c r="N55" s="18"/>
      <c r="O55" s="18"/>
      <c r="P55" s="18"/>
      <c r="Q55" s="22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2" t="str">
        <f t="shared" si="1"/>
        <v>20240421-11,1</v>
      </c>
      <c r="B56" s="1">
        <v>11.1</v>
      </c>
      <c r="C56" s="1"/>
      <c r="D56" s="2"/>
      <c r="E56" s="2"/>
      <c r="F56" s="1"/>
      <c r="G56" s="1"/>
      <c r="H56" s="8">
        <v>45403.0</v>
      </c>
      <c r="I56" s="4" t="str">
        <f t="shared" si="2"/>
        <v>2024-04</v>
      </c>
      <c r="J56" s="4"/>
      <c r="K56" s="18"/>
      <c r="L56" s="18"/>
      <c r="M56" s="18"/>
      <c r="N56" s="18"/>
      <c r="O56" s="18"/>
      <c r="P56" s="18"/>
      <c r="Q56" s="22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2" t="str">
        <f t="shared" si="1"/>
        <v>20240422-11,5</v>
      </c>
      <c r="B57" s="1">
        <v>11.5</v>
      </c>
      <c r="C57" s="1"/>
      <c r="D57" s="2"/>
      <c r="E57" s="2"/>
      <c r="F57" s="1"/>
      <c r="G57" s="1"/>
      <c r="H57" s="8">
        <v>45404.0</v>
      </c>
      <c r="I57" s="4" t="str">
        <f t="shared" si="2"/>
        <v>2024-04</v>
      </c>
      <c r="J57" s="4"/>
      <c r="K57" s="18"/>
      <c r="L57" s="18"/>
      <c r="M57" s="18"/>
      <c r="N57" s="18"/>
      <c r="O57" s="18"/>
      <c r="P57" s="18"/>
      <c r="Q57" s="22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2" t="str">
        <f t="shared" si="1"/>
        <v>20240423-11,4</v>
      </c>
      <c r="B58" s="1">
        <v>11.4</v>
      </c>
      <c r="C58" s="1"/>
      <c r="D58" s="4"/>
      <c r="E58" s="4"/>
      <c r="F58" s="1"/>
      <c r="G58" s="1"/>
      <c r="H58" s="8">
        <v>45405.0</v>
      </c>
      <c r="I58" s="4" t="str">
        <f t="shared" si="2"/>
        <v>2024-04</v>
      </c>
      <c r="J58" s="4"/>
      <c r="K58" s="18"/>
      <c r="L58" s="18"/>
      <c r="M58" s="18"/>
      <c r="N58" s="18"/>
      <c r="O58" s="18"/>
      <c r="P58" s="18"/>
      <c r="Q58" s="22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2" t="str">
        <f t="shared" si="1"/>
        <v>20240424-10,5</v>
      </c>
      <c r="B59" s="1">
        <v>10.5</v>
      </c>
      <c r="C59" s="1"/>
      <c r="D59" s="1"/>
      <c r="E59" s="1"/>
      <c r="F59" s="1"/>
      <c r="G59" s="1"/>
      <c r="H59" s="8">
        <v>45406.0</v>
      </c>
      <c r="I59" s="4" t="str">
        <f t="shared" si="2"/>
        <v>2024-04</v>
      </c>
      <c r="J59" s="4"/>
      <c r="K59" s="18"/>
      <c r="L59" s="18"/>
      <c r="M59" s="18"/>
      <c r="N59" s="18"/>
      <c r="O59" s="18"/>
      <c r="P59" s="18"/>
      <c r="Q59" s="22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2" t="str">
        <f t="shared" si="1"/>
        <v>20240425-10,8</v>
      </c>
      <c r="B60" s="1">
        <v>10.8</v>
      </c>
      <c r="C60" s="1"/>
      <c r="D60" s="1"/>
      <c r="E60" s="1"/>
      <c r="F60" s="1"/>
      <c r="G60" s="1"/>
      <c r="H60" s="8">
        <v>45407.0</v>
      </c>
      <c r="I60" s="4" t="str">
        <f t="shared" si="2"/>
        <v>2024-04</v>
      </c>
      <c r="J60" s="4"/>
      <c r="K60" s="18"/>
      <c r="L60" s="18"/>
      <c r="M60" s="18"/>
      <c r="N60" s="18"/>
      <c r="O60" s="18"/>
      <c r="P60" s="18"/>
      <c r="Q60" s="22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2" t="str">
        <f t="shared" si="1"/>
        <v>20240426-11,5</v>
      </c>
      <c r="B61" s="1">
        <v>11.5</v>
      </c>
      <c r="C61" s="1"/>
      <c r="D61" s="2"/>
      <c r="E61" s="2"/>
      <c r="F61" s="1"/>
      <c r="G61" s="1"/>
      <c r="H61" s="8">
        <v>45408.0</v>
      </c>
      <c r="I61" s="4" t="str">
        <f t="shared" si="2"/>
        <v>2024-04</v>
      </c>
      <c r="J61" s="4"/>
      <c r="K61" s="18"/>
      <c r="L61" s="18"/>
      <c r="M61" s="18"/>
      <c r="N61" s="18"/>
      <c r="O61" s="18"/>
      <c r="P61" s="18"/>
      <c r="Q61" s="22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2" t="str">
        <f t="shared" si="1"/>
        <v>20240427-11,5</v>
      </c>
      <c r="B62" s="1">
        <v>11.5</v>
      </c>
      <c r="C62" s="1"/>
      <c r="D62" s="2"/>
      <c r="E62" s="2"/>
      <c r="F62" s="1"/>
      <c r="G62" s="1"/>
      <c r="H62" s="8">
        <v>45409.0</v>
      </c>
      <c r="I62" s="4" t="str">
        <f t="shared" si="2"/>
        <v>2024-04</v>
      </c>
      <c r="J62" s="4"/>
      <c r="K62" s="18"/>
      <c r="L62" s="18"/>
      <c r="M62" s="18"/>
      <c r="N62" s="18"/>
      <c r="O62" s="18"/>
      <c r="P62" s="18"/>
      <c r="Q62" s="22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2" t="str">
        <f t="shared" si="1"/>
        <v>20240428-11,9</v>
      </c>
      <c r="B63" s="1">
        <v>11.9</v>
      </c>
      <c r="C63" s="1"/>
      <c r="D63" s="2"/>
      <c r="E63" s="2"/>
      <c r="F63" s="1"/>
      <c r="G63" s="1"/>
      <c r="H63" s="8">
        <v>45410.0</v>
      </c>
      <c r="I63" s="4" t="str">
        <f t="shared" si="2"/>
        <v>2024-04</v>
      </c>
      <c r="J63" s="4"/>
      <c r="K63" s="18"/>
      <c r="L63" s="18"/>
      <c r="M63" s="18"/>
      <c r="N63" s="18"/>
      <c r="O63" s="18"/>
      <c r="P63" s="18"/>
      <c r="Q63" s="22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2" t="str">
        <f t="shared" si="1"/>
        <v>20240429-11,5</v>
      </c>
      <c r="B64" s="1">
        <v>11.5</v>
      </c>
      <c r="C64" s="1"/>
      <c r="D64" s="2"/>
      <c r="E64" s="2"/>
      <c r="F64" s="1"/>
      <c r="G64" s="1"/>
      <c r="H64" s="8">
        <v>45411.0</v>
      </c>
      <c r="I64" s="4" t="str">
        <f t="shared" si="2"/>
        <v>2024-04</v>
      </c>
      <c r="J64" s="4"/>
      <c r="K64" s="18"/>
      <c r="L64" s="18"/>
      <c r="M64" s="18"/>
      <c r="N64" s="18"/>
      <c r="O64" s="18"/>
      <c r="P64" s="18"/>
      <c r="Q64" s="22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2" t="str">
        <f t="shared" si="1"/>
        <v>20240430-12,8</v>
      </c>
      <c r="B65" s="1">
        <v>12.8</v>
      </c>
      <c r="C65" s="1"/>
      <c r="D65" s="2"/>
      <c r="E65" s="2"/>
      <c r="F65" s="1"/>
      <c r="G65" s="1"/>
      <c r="H65" s="8">
        <v>45412.0</v>
      </c>
      <c r="I65" s="4" t="str">
        <f t="shared" si="2"/>
        <v>2024-04</v>
      </c>
      <c r="J65" s="4"/>
      <c r="K65" s="18"/>
      <c r="L65" s="18"/>
      <c r="M65" s="18"/>
      <c r="N65" s="18"/>
      <c r="O65" s="18"/>
      <c r="P65" s="18"/>
      <c r="Q65" s="22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2" t="str">
        <f t="shared" si="1"/>
        <v>20240501-12</v>
      </c>
      <c r="B66" s="1">
        <v>12.0</v>
      </c>
      <c r="C66" s="1"/>
      <c r="D66" s="1"/>
      <c r="E66" s="1"/>
      <c r="F66" s="1"/>
      <c r="G66" s="1"/>
      <c r="H66" s="8">
        <v>45413.0</v>
      </c>
      <c r="I66" s="4" t="str">
        <f t="shared" si="2"/>
        <v>2024-05</v>
      </c>
      <c r="J66" s="4"/>
      <c r="K66" s="18"/>
      <c r="L66" s="18"/>
      <c r="M66" s="18"/>
      <c r="N66" s="18"/>
      <c r="O66" s="18"/>
      <c r="P66" s="18"/>
      <c r="Q66" s="22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2" t="str">
        <f t="shared" si="1"/>
        <v>20240502-8,1</v>
      </c>
      <c r="B67" s="1">
        <v>8.1</v>
      </c>
      <c r="C67" s="1"/>
      <c r="D67" s="1"/>
      <c r="E67" s="1"/>
      <c r="F67" s="1"/>
      <c r="G67" s="1"/>
      <c r="H67" s="8">
        <v>45414.0</v>
      </c>
      <c r="I67" s="4" t="str">
        <f t="shared" si="2"/>
        <v>2024-05</v>
      </c>
      <c r="J67" s="4"/>
      <c r="K67" s="18"/>
      <c r="L67" s="18"/>
      <c r="M67" s="18"/>
      <c r="N67" s="18"/>
      <c r="O67" s="18"/>
      <c r="P67" s="18"/>
      <c r="Q67" s="22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2" t="str">
        <f t="shared" si="1"/>
        <v>20240503-11</v>
      </c>
      <c r="B68" s="1">
        <v>11.0</v>
      </c>
      <c r="C68" s="1"/>
      <c r="D68" s="2"/>
      <c r="E68" s="2"/>
      <c r="F68" s="1"/>
      <c r="G68" s="1"/>
      <c r="H68" s="8">
        <v>45415.0</v>
      </c>
      <c r="I68" s="4" t="str">
        <f t="shared" si="2"/>
        <v>2024-05</v>
      </c>
      <c r="J68" s="4"/>
      <c r="K68" s="18"/>
      <c r="L68" s="18"/>
      <c r="M68" s="18"/>
      <c r="N68" s="18"/>
      <c r="O68" s="18"/>
      <c r="P68" s="18"/>
      <c r="Q68" s="22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2" t="str">
        <f t="shared" si="1"/>
        <v>20240504-14</v>
      </c>
      <c r="B69" s="1">
        <v>14.0</v>
      </c>
      <c r="C69" s="1"/>
      <c r="D69" s="2"/>
      <c r="E69" s="2"/>
      <c r="F69" s="1"/>
      <c r="G69" s="1"/>
      <c r="H69" s="8">
        <v>45416.0</v>
      </c>
      <c r="I69" s="4" t="str">
        <f t="shared" si="2"/>
        <v>2024-05</v>
      </c>
      <c r="J69" s="4"/>
      <c r="K69" s="18"/>
      <c r="L69" s="18"/>
      <c r="M69" s="18"/>
      <c r="N69" s="18"/>
      <c r="O69" s="18"/>
      <c r="P69" s="18"/>
      <c r="Q69" s="22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2" t="str">
        <f t="shared" si="1"/>
        <v>20240505-9,4</v>
      </c>
      <c r="B70" s="1">
        <v>9.4</v>
      </c>
      <c r="C70" s="1"/>
      <c r="D70" s="2"/>
      <c r="E70" s="2"/>
      <c r="F70" s="1"/>
      <c r="G70" s="1"/>
      <c r="H70" s="8">
        <v>45417.0</v>
      </c>
      <c r="I70" s="4" t="str">
        <f t="shared" si="2"/>
        <v>2024-05</v>
      </c>
      <c r="J70" s="4"/>
      <c r="K70" s="18"/>
      <c r="L70" s="18"/>
      <c r="M70" s="18"/>
      <c r="N70" s="18"/>
      <c r="O70" s="18"/>
      <c r="P70" s="18"/>
      <c r="Q70" s="22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2" t="str">
        <f t="shared" si="1"/>
        <v>20240506-9</v>
      </c>
      <c r="B71" s="1">
        <v>9.0</v>
      </c>
      <c r="C71" s="1"/>
      <c r="D71" s="2"/>
      <c r="E71" s="2"/>
      <c r="F71" s="1"/>
      <c r="G71" s="1"/>
      <c r="H71" s="8">
        <v>45418.0</v>
      </c>
      <c r="I71" s="4" t="str">
        <f t="shared" si="2"/>
        <v>2024-05</v>
      </c>
      <c r="J71" s="4"/>
      <c r="K71" s="18"/>
      <c r="L71" s="18"/>
      <c r="M71" s="18"/>
      <c r="N71" s="18"/>
      <c r="O71" s="18"/>
      <c r="P71" s="18"/>
      <c r="Q71" s="22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2" t="str">
        <f t="shared" si="1"/>
        <v>20240507-11,3</v>
      </c>
      <c r="B72" s="1">
        <v>11.3</v>
      </c>
      <c r="C72" s="1"/>
      <c r="D72" s="2"/>
      <c r="E72" s="2"/>
      <c r="F72" s="1"/>
      <c r="G72" s="1"/>
      <c r="H72" s="8">
        <v>45419.0</v>
      </c>
      <c r="I72" s="4" t="str">
        <f t="shared" si="2"/>
        <v>2024-05</v>
      </c>
      <c r="J72" s="4"/>
      <c r="K72" s="18"/>
      <c r="L72" s="18"/>
      <c r="M72" s="18"/>
      <c r="N72" s="18"/>
      <c r="O72" s="18"/>
      <c r="P72" s="18"/>
      <c r="Q72" s="22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2" t="str">
        <f t="shared" si="1"/>
        <v>20240508-10,5</v>
      </c>
      <c r="B73" s="1">
        <v>10.5</v>
      </c>
      <c r="C73" s="1"/>
      <c r="D73" s="4"/>
      <c r="E73" s="4"/>
      <c r="F73" s="1"/>
      <c r="G73" s="1"/>
      <c r="H73" s="8">
        <v>45420.0</v>
      </c>
      <c r="I73" s="4" t="str">
        <f t="shared" si="2"/>
        <v>2024-05</v>
      </c>
      <c r="J73" s="4"/>
      <c r="K73" s="18"/>
      <c r="L73" s="18"/>
      <c r="M73" s="18"/>
      <c r="N73" s="18"/>
      <c r="O73" s="18"/>
      <c r="P73" s="18"/>
      <c r="Q73" s="22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2" t="str">
        <f t="shared" si="1"/>
        <v>20240509-11,5</v>
      </c>
      <c r="B74" s="1">
        <v>11.5</v>
      </c>
      <c r="C74" s="1"/>
      <c r="D74" s="1"/>
      <c r="E74" s="1"/>
      <c r="F74" s="1"/>
      <c r="G74" s="1"/>
      <c r="H74" s="8">
        <v>45421.0</v>
      </c>
      <c r="I74" s="4" t="str">
        <f t="shared" si="2"/>
        <v>2024-05</v>
      </c>
      <c r="J74" s="4"/>
      <c r="K74" s="18"/>
      <c r="L74" s="18"/>
      <c r="M74" s="18"/>
      <c r="N74" s="18"/>
      <c r="O74" s="18"/>
      <c r="P74" s="18"/>
      <c r="Q74" s="22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2" t="str">
        <f t="shared" si="1"/>
        <v>20240510-11,4</v>
      </c>
      <c r="B75" s="1">
        <v>11.4</v>
      </c>
      <c r="C75" s="1"/>
      <c r="D75" s="1"/>
      <c r="E75" s="1"/>
      <c r="F75" s="1"/>
      <c r="G75" s="1"/>
      <c r="H75" s="8">
        <v>45422.0</v>
      </c>
      <c r="I75" s="4" t="str">
        <f t="shared" si="2"/>
        <v>2024-05</v>
      </c>
      <c r="J75" s="4"/>
      <c r="K75" s="18"/>
      <c r="L75" s="18"/>
      <c r="M75" s="18"/>
      <c r="N75" s="18"/>
      <c r="O75" s="18"/>
      <c r="P75" s="18"/>
      <c r="Q75" s="22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2" t="str">
        <f t="shared" si="1"/>
        <v>20240511-12,1</v>
      </c>
      <c r="B76" s="1">
        <v>12.1</v>
      </c>
      <c r="C76" s="1"/>
      <c r="D76" s="2"/>
      <c r="E76" s="2"/>
      <c r="F76" s="1"/>
      <c r="G76" s="1"/>
      <c r="H76" s="8">
        <v>45423.0</v>
      </c>
      <c r="I76" s="4" t="str">
        <f t="shared" si="2"/>
        <v>2024-05</v>
      </c>
      <c r="J76" s="4"/>
      <c r="K76" s="18"/>
      <c r="L76" s="18"/>
      <c r="M76" s="18"/>
      <c r="N76" s="18"/>
      <c r="O76" s="18"/>
      <c r="P76" s="18"/>
      <c r="Q76" s="22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2" t="str">
        <f t="shared" si="1"/>
        <v>20240512-11,3</v>
      </c>
      <c r="B77" s="1">
        <v>11.3</v>
      </c>
      <c r="C77" s="1"/>
      <c r="D77" s="2"/>
      <c r="E77" s="2"/>
      <c r="F77" s="1"/>
      <c r="G77" s="1"/>
      <c r="H77" s="8">
        <v>45424.0</v>
      </c>
      <c r="I77" s="4" t="str">
        <f t="shared" si="2"/>
        <v>2024-05</v>
      </c>
      <c r="J77" s="4"/>
      <c r="K77" s="18"/>
      <c r="L77" s="18"/>
      <c r="M77" s="18"/>
      <c r="N77" s="18"/>
      <c r="O77" s="18"/>
      <c r="P77" s="18"/>
      <c r="Q77" s="22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2" t="str">
        <f t="shared" si="1"/>
        <v>20240513-13,5</v>
      </c>
      <c r="B78" s="1">
        <v>13.5</v>
      </c>
      <c r="C78" s="1"/>
      <c r="D78" s="2"/>
      <c r="E78" s="2"/>
      <c r="F78" s="1"/>
      <c r="G78" s="1"/>
      <c r="H78" s="8">
        <v>45425.0</v>
      </c>
      <c r="I78" s="4" t="str">
        <f t="shared" si="2"/>
        <v>2024-05</v>
      </c>
      <c r="J78" s="4"/>
      <c r="K78" s="18"/>
      <c r="L78" s="18"/>
      <c r="M78" s="18"/>
      <c r="N78" s="18"/>
      <c r="O78" s="18"/>
      <c r="P78" s="18"/>
      <c r="Q78" s="22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2" t="str">
        <f t="shared" si="1"/>
        <v>20240514-11,9</v>
      </c>
      <c r="B79" s="1">
        <v>11.9</v>
      </c>
      <c r="C79" s="1"/>
      <c r="D79" s="2"/>
      <c r="E79" s="2"/>
      <c r="F79" s="1"/>
      <c r="G79" s="1"/>
      <c r="H79" s="8">
        <v>45426.0</v>
      </c>
      <c r="I79" s="4" t="str">
        <f t="shared" si="2"/>
        <v>2024-05</v>
      </c>
      <c r="J79" s="4"/>
      <c r="K79" s="18"/>
      <c r="L79" s="18"/>
      <c r="M79" s="18"/>
      <c r="N79" s="18"/>
      <c r="O79" s="18"/>
      <c r="P79" s="18"/>
      <c r="Q79" s="22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2" t="str">
        <f t="shared" si="1"/>
        <v>20240515-11,4</v>
      </c>
      <c r="B80" s="1">
        <v>11.4</v>
      </c>
      <c r="C80" s="1"/>
      <c r="D80" s="2"/>
      <c r="E80" s="2"/>
      <c r="F80" s="1"/>
      <c r="G80" s="1"/>
      <c r="H80" s="8">
        <v>45427.0</v>
      </c>
      <c r="I80" s="4" t="str">
        <f t="shared" si="2"/>
        <v>2024-05</v>
      </c>
      <c r="J80" s="4"/>
      <c r="K80" s="18"/>
      <c r="L80" s="18"/>
      <c r="M80" s="18"/>
      <c r="N80" s="18"/>
      <c r="O80" s="18"/>
      <c r="P80" s="18"/>
      <c r="Q80" s="22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C81" s="5"/>
      <c r="D81" s="5"/>
      <c r="E81" s="5"/>
      <c r="F81" s="5"/>
      <c r="G81" s="5"/>
      <c r="H81" s="9"/>
      <c r="I81" s="1"/>
      <c r="J81" s="1"/>
      <c r="K81" s="28"/>
      <c r="L81" s="28"/>
      <c r="M81" s="28"/>
      <c r="N81" s="28"/>
      <c r="O81" s="21"/>
      <c r="P81" s="21"/>
      <c r="Q81" s="29"/>
    </row>
    <row r="82" ht="15.75" customHeight="1">
      <c r="C82" s="5"/>
      <c r="D82" s="5"/>
      <c r="E82" s="5"/>
      <c r="F82" s="5"/>
      <c r="G82" s="5"/>
      <c r="H82" s="9"/>
      <c r="I82" s="1"/>
      <c r="J82" s="1"/>
      <c r="K82" s="28"/>
      <c r="L82" s="28"/>
      <c r="M82" s="28"/>
      <c r="N82" s="28"/>
      <c r="O82" s="21"/>
      <c r="P82" s="21"/>
      <c r="Q82" s="29"/>
    </row>
    <row r="83" ht="15.75" customHeight="1">
      <c r="C83" s="5"/>
      <c r="D83" s="5"/>
      <c r="E83" s="5"/>
      <c r="F83" s="5"/>
      <c r="G83" s="5"/>
      <c r="H83" s="9"/>
      <c r="K83" s="30"/>
      <c r="L83" s="30"/>
      <c r="M83" s="30"/>
      <c r="N83" s="30"/>
      <c r="O83" s="21"/>
      <c r="P83" s="21"/>
      <c r="Q83" s="29"/>
    </row>
    <row r="84" ht="15.75" customHeight="1">
      <c r="C84" s="5"/>
      <c r="D84" s="5"/>
      <c r="E84" s="5"/>
      <c r="F84" s="5"/>
      <c r="G84" s="5"/>
      <c r="H84" s="9"/>
      <c r="K84" s="30"/>
      <c r="L84" s="30"/>
      <c r="M84" s="30"/>
      <c r="N84" s="30"/>
      <c r="O84" s="21"/>
      <c r="P84" s="21"/>
      <c r="Q84" s="29"/>
    </row>
    <row r="85" ht="15.75" customHeight="1">
      <c r="C85" s="5"/>
      <c r="D85" s="5"/>
      <c r="E85" s="5"/>
      <c r="F85" s="5"/>
      <c r="H85" s="9"/>
      <c r="K85" s="30"/>
      <c r="L85" s="30"/>
      <c r="M85" s="30"/>
      <c r="N85" s="30"/>
      <c r="O85" s="21"/>
      <c r="P85" s="21"/>
      <c r="Q85" s="29"/>
    </row>
    <row r="86" ht="15.75" customHeight="1">
      <c r="C86" s="5"/>
      <c r="D86" s="5"/>
      <c r="E86" s="5"/>
      <c r="F86" s="5"/>
      <c r="H86" s="9"/>
      <c r="K86" s="30"/>
      <c r="L86" s="30"/>
      <c r="M86" s="30"/>
      <c r="N86" s="30"/>
      <c r="O86" s="21"/>
      <c r="P86" s="21"/>
      <c r="Q86" s="29"/>
    </row>
    <row r="87" ht="15.75" customHeight="1">
      <c r="C87" s="5"/>
      <c r="D87" s="5"/>
      <c r="E87" s="5"/>
      <c r="F87" s="5"/>
      <c r="H87" s="9"/>
      <c r="K87" s="30"/>
      <c r="L87" s="30"/>
      <c r="M87" s="30"/>
      <c r="N87" s="30"/>
      <c r="O87" s="21"/>
      <c r="P87" s="21"/>
      <c r="Q87" s="29"/>
    </row>
    <row r="88" ht="15.75" customHeight="1">
      <c r="C88" s="5"/>
      <c r="D88" s="5"/>
      <c r="E88" s="5"/>
      <c r="F88" s="5"/>
      <c r="H88" s="9"/>
      <c r="K88" s="30"/>
      <c r="L88" s="30"/>
      <c r="M88" s="30"/>
      <c r="N88" s="30"/>
      <c r="O88" s="21"/>
      <c r="P88" s="21"/>
      <c r="Q88" s="29"/>
    </row>
    <row r="89" ht="15.75" customHeight="1">
      <c r="H89" s="9"/>
      <c r="K89" s="30"/>
      <c r="L89" s="30"/>
      <c r="M89" s="30"/>
      <c r="N89" s="30"/>
      <c r="O89" s="21"/>
      <c r="P89" s="21"/>
      <c r="Q89" s="29"/>
    </row>
    <row r="90" ht="15.75" customHeight="1">
      <c r="H90" s="9"/>
      <c r="K90" s="30"/>
      <c r="L90" s="30"/>
      <c r="M90" s="30"/>
      <c r="N90" s="30"/>
      <c r="O90" s="21"/>
      <c r="P90" s="21"/>
      <c r="Q90" s="29"/>
    </row>
    <row r="91" ht="15.75" customHeight="1">
      <c r="H91" s="9"/>
      <c r="K91" s="30"/>
      <c r="L91" s="30"/>
      <c r="M91" s="30"/>
      <c r="N91" s="30"/>
      <c r="O91" s="21"/>
      <c r="P91" s="21"/>
      <c r="Q91" s="29"/>
    </row>
    <row r="92" ht="15.75" customHeight="1">
      <c r="H92" s="9"/>
      <c r="K92" s="30"/>
      <c r="L92" s="30"/>
      <c r="M92" s="30"/>
      <c r="N92" s="30"/>
      <c r="O92" s="21"/>
      <c r="P92" s="21"/>
      <c r="Q92" s="29"/>
    </row>
    <row r="93" ht="15.75" customHeight="1">
      <c r="H93" s="9"/>
      <c r="K93" s="30"/>
      <c r="L93" s="30"/>
      <c r="M93" s="30"/>
      <c r="N93" s="30"/>
      <c r="O93" s="21"/>
      <c r="P93" s="21"/>
      <c r="Q93" s="29"/>
    </row>
    <row r="94" ht="15.75" customHeight="1">
      <c r="H94" s="9"/>
      <c r="K94" s="30"/>
      <c r="L94" s="30"/>
      <c r="M94" s="30"/>
      <c r="N94" s="30"/>
      <c r="O94" s="21"/>
      <c r="P94" s="21"/>
      <c r="Q94" s="29"/>
    </row>
    <row r="95" ht="15.75" customHeight="1">
      <c r="H95" s="9"/>
      <c r="K95" s="30"/>
      <c r="L95" s="30"/>
      <c r="M95" s="30"/>
      <c r="N95" s="30"/>
      <c r="O95" s="21"/>
      <c r="P95" s="21"/>
      <c r="Q95" s="29"/>
    </row>
    <row r="96" ht="15.75" customHeight="1">
      <c r="H96" s="9"/>
      <c r="K96" s="30"/>
      <c r="L96" s="30"/>
      <c r="M96" s="30"/>
      <c r="N96" s="30"/>
      <c r="O96" s="21"/>
      <c r="P96" s="21"/>
      <c r="Q96" s="29"/>
    </row>
    <row r="97" ht="15.75" customHeight="1">
      <c r="H97" s="9"/>
      <c r="K97" s="30"/>
      <c r="L97" s="30"/>
      <c r="M97" s="30"/>
      <c r="N97" s="30"/>
      <c r="O97" s="21"/>
      <c r="P97" s="21"/>
      <c r="Q97" s="29"/>
    </row>
    <row r="98" ht="15.75" customHeight="1">
      <c r="H98" s="9"/>
      <c r="K98" s="30"/>
      <c r="L98" s="30"/>
      <c r="M98" s="30"/>
      <c r="N98" s="30"/>
      <c r="O98" s="21"/>
      <c r="P98" s="21"/>
      <c r="Q98" s="29"/>
    </row>
    <row r="99" ht="15.75" customHeight="1">
      <c r="H99" s="9"/>
      <c r="K99" s="30"/>
      <c r="L99" s="30"/>
      <c r="M99" s="30"/>
      <c r="N99" s="30"/>
      <c r="O99" s="21"/>
      <c r="P99" s="21"/>
      <c r="Q99" s="29"/>
    </row>
    <row r="100" ht="15.75" customHeight="1">
      <c r="H100" s="9"/>
      <c r="K100" s="30"/>
      <c r="L100" s="30"/>
      <c r="M100" s="30"/>
      <c r="N100" s="30"/>
      <c r="O100" s="21"/>
      <c r="P100" s="21"/>
      <c r="Q100" s="29"/>
    </row>
    <row r="101" ht="15.75" customHeight="1">
      <c r="H101" s="9"/>
      <c r="K101" s="30"/>
      <c r="L101" s="30"/>
      <c r="M101" s="30"/>
      <c r="N101" s="30"/>
      <c r="O101" s="21"/>
      <c r="P101" s="21"/>
      <c r="Q101" s="29"/>
    </row>
    <row r="102" ht="15.75" customHeight="1">
      <c r="H102" s="9"/>
      <c r="K102" s="30"/>
      <c r="L102" s="30"/>
      <c r="M102" s="30"/>
      <c r="N102" s="30"/>
      <c r="O102" s="21"/>
      <c r="P102" s="21"/>
      <c r="Q102" s="29"/>
    </row>
    <row r="103" ht="15.75" customHeight="1">
      <c r="H103" s="9"/>
      <c r="K103" s="30"/>
      <c r="L103" s="30"/>
      <c r="M103" s="30"/>
      <c r="N103" s="30"/>
      <c r="O103" s="21"/>
      <c r="P103" s="21"/>
      <c r="Q103" s="29"/>
    </row>
    <row r="104" ht="15.75" customHeight="1">
      <c r="H104" s="9"/>
      <c r="K104" s="30"/>
      <c r="L104" s="30"/>
      <c r="M104" s="30"/>
      <c r="N104" s="30"/>
      <c r="O104" s="21"/>
      <c r="P104" s="21"/>
      <c r="Q104" s="29"/>
    </row>
    <row r="105" ht="15.75" customHeight="1">
      <c r="H105" s="9"/>
      <c r="K105" s="30"/>
      <c r="L105" s="30"/>
      <c r="M105" s="30"/>
      <c r="N105" s="30"/>
      <c r="O105" s="21"/>
      <c r="P105" s="21"/>
      <c r="Q105" s="29"/>
    </row>
    <row r="106" ht="15.75" customHeight="1">
      <c r="H106" s="9"/>
      <c r="K106" s="30"/>
      <c r="L106" s="30"/>
      <c r="M106" s="30"/>
      <c r="N106" s="30"/>
      <c r="O106" s="21"/>
      <c r="P106" s="21"/>
      <c r="Q106" s="29"/>
    </row>
    <row r="107" ht="15.75" customHeight="1">
      <c r="H107" s="9"/>
      <c r="K107" s="30"/>
      <c r="L107" s="30"/>
      <c r="M107" s="30"/>
      <c r="N107" s="30"/>
      <c r="O107" s="21"/>
      <c r="P107" s="21"/>
      <c r="Q107" s="29"/>
    </row>
    <row r="108" ht="15.75" customHeight="1">
      <c r="H108" s="9"/>
      <c r="K108" s="30"/>
      <c r="L108" s="30"/>
      <c r="M108" s="30"/>
      <c r="N108" s="30"/>
      <c r="O108" s="21"/>
      <c r="P108" s="21"/>
      <c r="Q108" s="29"/>
    </row>
    <row r="109" ht="15.75" customHeight="1">
      <c r="H109" s="9"/>
      <c r="K109" s="30"/>
      <c r="L109" s="30"/>
      <c r="M109" s="30"/>
      <c r="N109" s="30"/>
      <c r="O109" s="21"/>
      <c r="P109" s="21"/>
      <c r="Q109" s="29"/>
    </row>
    <row r="110" ht="15.75" customHeight="1">
      <c r="H110" s="9"/>
      <c r="K110" s="30"/>
      <c r="L110" s="30"/>
      <c r="M110" s="30"/>
      <c r="N110" s="30"/>
      <c r="O110" s="21"/>
      <c r="P110" s="21"/>
      <c r="Q110" s="29"/>
    </row>
    <row r="111" ht="15.75" customHeight="1">
      <c r="H111" s="9"/>
      <c r="K111" s="30"/>
      <c r="L111" s="30"/>
      <c r="M111" s="30"/>
      <c r="N111" s="30"/>
      <c r="O111" s="21"/>
      <c r="P111" s="21"/>
      <c r="Q111" s="29"/>
    </row>
    <row r="112" ht="15.75" customHeight="1">
      <c r="H112" s="9"/>
      <c r="K112" s="30"/>
      <c r="L112" s="30"/>
      <c r="M112" s="30"/>
      <c r="N112" s="30"/>
      <c r="O112" s="21"/>
      <c r="P112" s="21"/>
      <c r="Q112" s="29"/>
    </row>
    <row r="113" ht="15.75" customHeight="1">
      <c r="H113" s="9"/>
      <c r="K113" s="30"/>
      <c r="L113" s="30"/>
      <c r="M113" s="30"/>
      <c r="N113" s="30"/>
      <c r="O113" s="21"/>
      <c r="P113" s="21"/>
      <c r="Q113" s="29"/>
    </row>
    <row r="114" ht="15.75" customHeight="1">
      <c r="H114" s="9"/>
      <c r="K114" s="30"/>
      <c r="L114" s="30"/>
      <c r="M114" s="30"/>
      <c r="N114" s="30"/>
      <c r="O114" s="21"/>
      <c r="P114" s="21"/>
      <c r="Q114" s="29"/>
    </row>
    <row r="115" ht="15.75" customHeight="1">
      <c r="H115" s="9"/>
      <c r="K115" s="30"/>
      <c r="L115" s="30"/>
      <c r="M115" s="30"/>
      <c r="N115" s="30"/>
      <c r="O115" s="21"/>
      <c r="P115" s="21"/>
      <c r="Q115" s="29"/>
    </row>
    <row r="116" ht="15.75" customHeight="1">
      <c r="H116" s="9"/>
      <c r="K116" s="30"/>
      <c r="L116" s="30"/>
      <c r="M116" s="30"/>
      <c r="N116" s="30"/>
      <c r="O116" s="21"/>
      <c r="P116" s="21"/>
      <c r="Q116" s="29"/>
    </row>
    <row r="117" ht="15.75" customHeight="1">
      <c r="H117" s="9"/>
      <c r="K117" s="30"/>
      <c r="L117" s="30"/>
      <c r="M117" s="30"/>
      <c r="N117" s="30"/>
      <c r="O117" s="21"/>
      <c r="P117" s="21"/>
      <c r="Q117" s="29"/>
    </row>
    <row r="118" ht="15.75" customHeight="1">
      <c r="H118" s="9"/>
      <c r="K118" s="30"/>
      <c r="L118" s="30"/>
      <c r="M118" s="30"/>
      <c r="N118" s="30"/>
      <c r="O118" s="21"/>
      <c r="P118" s="21"/>
      <c r="Q118" s="29"/>
    </row>
    <row r="119" ht="15.75" customHeight="1">
      <c r="H119" s="9"/>
      <c r="K119" s="30"/>
      <c r="L119" s="30"/>
      <c r="M119" s="30"/>
      <c r="N119" s="30"/>
      <c r="O119" s="21"/>
      <c r="P119" s="21"/>
      <c r="Q119" s="29"/>
    </row>
    <row r="120" ht="15.75" customHeight="1">
      <c r="H120" s="9"/>
      <c r="K120" s="30"/>
      <c r="L120" s="30"/>
      <c r="M120" s="30"/>
      <c r="N120" s="30"/>
      <c r="O120" s="21"/>
      <c r="P120" s="21"/>
      <c r="Q120" s="29"/>
    </row>
    <row r="121" ht="15.75" customHeight="1">
      <c r="H121" s="9"/>
      <c r="K121" s="30"/>
      <c r="L121" s="30"/>
      <c r="M121" s="30"/>
      <c r="N121" s="30"/>
      <c r="O121" s="21"/>
      <c r="P121" s="21"/>
      <c r="Q121" s="29"/>
    </row>
    <row r="122" ht="15.75" customHeight="1">
      <c r="H122" s="9"/>
      <c r="K122" s="30"/>
      <c r="L122" s="30"/>
      <c r="M122" s="30"/>
      <c r="N122" s="30"/>
      <c r="O122" s="21"/>
      <c r="P122" s="21"/>
      <c r="Q122" s="29"/>
    </row>
    <row r="123" ht="15.75" customHeight="1">
      <c r="H123" s="9"/>
      <c r="K123" s="30"/>
      <c r="L123" s="30"/>
      <c r="M123" s="30"/>
      <c r="N123" s="30"/>
      <c r="O123" s="21"/>
      <c r="P123" s="21"/>
      <c r="Q123" s="29"/>
    </row>
    <row r="124" ht="15.75" customHeight="1">
      <c r="H124" s="9"/>
      <c r="K124" s="30"/>
      <c r="L124" s="30"/>
      <c r="M124" s="30"/>
      <c r="N124" s="30"/>
      <c r="O124" s="21"/>
      <c r="P124" s="21"/>
      <c r="Q124" s="29"/>
    </row>
    <row r="125" ht="15.75" customHeight="1">
      <c r="H125" s="9"/>
      <c r="K125" s="30"/>
      <c r="L125" s="30"/>
      <c r="M125" s="30"/>
      <c r="N125" s="30"/>
      <c r="O125" s="21"/>
      <c r="P125" s="21"/>
      <c r="Q125" s="29"/>
    </row>
    <row r="126" ht="15.75" customHeight="1">
      <c r="H126" s="9"/>
      <c r="K126" s="30"/>
      <c r="L126" s="30"/>
      <c r="M126" s="30"/>
      <c r="N126" s="30"/>
      <c r="O126" s="21"/>
      <c r="P126" s="21"/>
      <c r="Q126" s="29"/>
    </row>
    <row r="127" ht="15.75" customHeight="1">
      <c r="H127" s="9"/>
      <c r="K127" s="30"/>
      <c r="L127" s="30"/>
      <c r="M127" s="30"/>
      <c r="N127" s="30"/>
      <c r="O127" s="21"/>
      <c r="P127" s="21"/>
      <c r="Q127" s="29"/>
    </row>
    <row r="128" ht="15.75" customHeight="1">
      <c r="H128" s="9"/>
      <c r="K128" s="30"/>
      <c r="L128" s="30"/>
      <c r="M128" s="30"/>
      <c r="N128" s="30"/>
      <c r="O128" s="21"/>
      <c r="P128" s="21"/>
      <c r="Q128" s="29"/>
    </row>
    <row r="129" ht="15.75" customHeight="1">
      <c r="H129" s="9"/>
      <c r="K129" s="30"/>
      <c r="L129" s="30"/>
      <c r="M129" s="30"/>
      <c r="N129" s="30"/>
      <c r="O129" s="21"/>
      <c r="P129" s="21"/>
      <c r="Q129" s="29"/>
    </row>
    <row r="130" ht="15.75" customHeight="1">
      <c r="H130" s="9"/>
      <c r="K130" s="30"/>
      <c r="L130" s="30"/>
      <c r="M130" s="30"/>
      <c r="N130" s="30"/>
      <c r="O130" s="21"/>
      <c r="P130" s="21"/>
      <c r="Q130" s="29"/>
    </row>
    <row r="131" ht="15.75" customHeight="1">
      <c r="H131" s="9"/>
      <c r="K131" s="30"/>
      <c r="L131" s="30"/>
      <c r="M131" s="30"/>
      <c r="N131" s="30"/>
      <c r="O131" s="21"/>
      <c r="P131" s="21"/>
      <c r="Q131" s="29"/>
    </row>
    <row r="132" ht="15.75" customHeight="1">
      <c r="H132" s="9"/>
      <c r="K132" s="30"/>
      <c r="L132" s="30"/>
      <c r="M132" s="30"/>
      <c r="N132" s="30"/>
      <c r="O132" s="21"/>
      <c r="P132" s="21"/>
      <c r="Q132" s="29"/>
    </row>
    <row r="133" ht="15.75" customHeight="1">
      <c r="H133" s="9"/>
      <c r="K133" s="30"/>
      <c r="L133" s="30"/>
      <c r="M133" s="30"/>
      <c r="N133" s="30"/>
      <c r="O133" s="21"/>
      <c r="P133" s="21"/>
      <c r="Q133" s="29"/>
    </row>
    <row r="134" ht="15.75" customHeight="1">
      <c r="H134" s="9"/>
      <c r="K134" s="30"/>
      <c r="L134" s="30"/>
      <c r="M134" s="30"/>
      <c r="N134" s="30"/>
      <c r="O134" s="21"/>
      <c r="P134" s="21"/>
      <c r="Q134" s="29"/>
    </row>
    <row r="135" ht="15.75" customHeight="1">
      <c r="H135" s="9"/>
      <c r="K135" s="30"/>
      <c r="L135" s="30"/>
      <c r="M135" s="30"/>
      <c r="N135" s="30"/>
      <c r="O135" s="21"/>
      <c r="P135" s="21"/>
      <c r="Q135" s="29"/>
    </row>
    <row r="136" ht="15.75" customHeight="1">
      <c r="H136" s="9"/>
      <c r="K136" s="30"/>
      <c r="L136" s="30"/>
      <c r="M136" s="30"/>
      <c r="N136" s="30"/>
      <c r="O136" s="21"/>
      <c r="P136" s="21"/>
      <c r="Q136" s="29"/>
    </row>
    <row r="137" ht="15.75" customHeight="1">
      <c r="H137" s="9"/>
      <c r="K137" s="30"/>
      <c r="L137" s="30"/>
      <c r="M137" s="30"/>
      <c r="N137" s="30"/>
      <c r="O137" s="21"/>
      <c r="P137" s="21"/>
      <c r="Q137" s="29"/>
    </row>
    <row r="138" ht="15.75" customHeight="1">
      <c r="H138" s="9"/>
      <c r="K138" s="30"/>
      <c r="L138" s="30"/>
      <c r="M138" s="30"/>
      <c r="N138" s="30"/>
      <c r="O138" s="21"/>
      <c r="P138" s="21"/>
      <c r="Q138" s="29"/>
    </row>
    <row r="139" ht="15.75" customHeight="1">
      <c r="H139" s="9"/>
      <c r="K139" s="30"/>
      <c r="L139" s="30"/>
      <c r="M139" s="30"/>
      <c r="N139" s="30"/>
      <c r="O139" s="21"/>
      <c r="P139" s="21"/>
      <c r="Q139" s="29"/>
    </row>
    <row r="140" ht="15.75" customHeight="1">
      <c r="H140" s="9"/>
      <c r="K140" s="30"/>
      <c r="L140" s="30"/>
      <c r="M140" s="30"/>
      <c r="N140" s="30"/>
      <c r="O140" s="21"/>
      <c r="P140" s="21"/>
      <c r="Q140" s="29"/>
    </row>
    <row r="141" ht="15.75" customHeight="1">
      <c r="H141" s="9"/>
      <c r="K141" s="30"/>
      <c r="L141" s="30"/>
      <c r="M141" s="30"/>
      <c r="N141" s="30"/>
      <c r="O141" s="21"/>
      <c r="P141" s="21"/>
      <c r="Q141" s="29"/>
    </row>
    <row r="142" ht="15.75" customHeight="1">
      <c r="H142" s="9"/>
      <c r="K142" s="30"/>
      <c r="L142" s="30"/>
      <c r="M142" s="30"/>
      <c r="N142" s="30"/>
      <c r="O142" s="21"/>
      <c r="P142" s="21"/>
      <c r="Q142" s="29"/>
    </row>
    <row r="143" ht="15.75" customHeight="1">
      <c r="H143" s="9"/>
      <c r="K143" s="30"/>
      <c r="L143" s="30"/>
      <c r="M143" s="30"/>
      <c r="N143" s="30"/>
      <c r="O143" s="21"/>
      <c r="P143" s="21"/>
      <c r="Q143" s="29"/>
    </row>
    <row r="144" ht="15.75" customHeight="1">
      <c r="H144" s="9"/>
      <c r="K144" s="30"/>
      <c r="L144" s="30"/>
      <c r="M144" s="30"/>
      <c r="N144" s="30"/>
      <c r="O144" s="21"/>
      <c r="P144" s="21"/>
      <c r="Q144" s="29"/>
    </row>
    <row r="145" ht="15.75" customHeight="1">
      <c r="H145" s="9"/>
      <c r="K145" s="30"/>
      <c r="L145" s="30"/>
      <c r="M145" s="30"/>
      <c r="N145" s="30"/>
      <c r="O145" s="21"/>
      <c r="P145" s="21"/>
      <c r="Q145" s="29"/>
    </row>
    <row r="146" ht="15.75" customHeight="1">
      <c r="H146" s="9"/>
      <c r="K146" s="30"/>
      <c r="L146" s="30"/>
      <c r="M146" s="30"/>
      <c r="N146" s="30"/>
      <c r="O146" s="21"/>
      <c r="P146" s="21"/>
      <c r="Q146" s="29"/>
    </row>
    <row r="147" ht="15.75" customHeight="1">
      <c r="H147" s="9"/>
      <c r="K147" s="30"/>
      <c r="L147" s="30"/>
      <c r="M147" s="30"/>
      <c r="N147" s="30"/>
      <c r="O147" s="21"/>
      <c r="P147" s="21"/>
      <c r="Q147" s="29"/>
    </row>
    <row r="148" ht="15.75" customHeight="1">
      <c r="H148" s="9"/>
      <c r="K148" s="30"/>
      <c r="L148" s="30"/>
      <c r="M148" s="30"/>
      <c r="N148" s="30"/>
      <c r="O148" s="21"/>
      <c r="P148" s="21"/>
      <c r="Q148" s="29"/>
    </row>
    <row r="149" ht="15.75" customHeight="1">
      <c r="H149" s="9"/>
      <c r="K149" s="30"/>
      <c r="L149" s="30"/>
      <c r="M149" s="30"/>
      <c r="N149" s="30"/>
      <c r="O149" s="21"/>
      <c r="P149" s="21"/>
      <c r="Q149" s="29"/>
    </row>
    <row r="150" ht="15.75" customHeight="1">
      <c r="H150" s="9"/>
      <c r="K150" s="30"/>
      <c r="L150" s="30"/>
      <c r="M150" s="30"/>
      <c r="N150" s="30"/>
      <c r="O150" s="21"/>
      <c r="P150" s="21"/>
      <c r="Q150" s="29"/>
    </row>
    <row r="151" ht="15.75" customHeight="1">
      <c r="H151" s="9"/>
      <c r="K151" s="30"/>
      <c r="L151" s="30"/>
      <c r="M151" s="30"/>
      <c r="N151" s="30"/>
      <c r="O151" s="21"/>
      <c r="P151" s="21"/>
      <c r="Q151" s="29"/>
    </row>
    <row r="152" ht="15.75" customHeight="1">
      <c r="H152" s="9"/>
      <c r="K152" s="30"/>
      <c r="L152" s="30"/>
      <c r="M152" s="30"/>
      <c r="N152" s="30"/>
      <c r="O152" s="21"/>
      <c r="P152" s="21"/>
      <c r="Q152" s="29"/>
    </row>
    <row r="153" ht="15.75" customHeight="1">
      <c r="H153" s="9"/>
      <c r="K153" s="30"/>
      <c r="L153" s="30"/>
      <c r="M153" s="30"/>
      <c r="N153" s="30"/>
      <c r="O153" s="21"/>
      <c r="P153" s="21"/>
      <c r="Q153" s="29"/>
    </row>
    <row r="154" ht="15.75" customHeight="1">
      <c r="H154" s="9"/>
      <c r="K154" s="30"/>
      <c r="L154" s="30"/>
      <c r="M154" s="30"/>
      <c r="N154" s="30"/>
      <c r="O154" s="21"/>
      <c r="P154" s="21"/>
      <c r="Q154" s="29"/>
    </row>
    <row r="155" ht="15.75" customHeight="1">
      <c r="H155" s="9"/>
      <c r="K155" s="30"/>
      <c r="L155" s="30"/>
      <c r="M155" s="30"/>
      <c r="N155" s="30"/>
      <c r="O155" s="21"/>
      <c r="P155" s="21"/>
      <c r="Q155" s="29"/>
    </row>
    <row r="156" ht="15.75" customHeight="1">
      <c r="H156" s="9"/>
      <c r="K156" s="30"/>
      <c r="L156" s="30"/>
      <c r="M156" s="30"/>
      <c r="N156" s="30"/>
      <c r="O156" s="21"/>
      <c r="P156" s="21"/>
      <c r="Q156" s="29"/>
    </row>
    <row r="157" ht="15.75" customHeight="1">
      <c r="H157" s="9"/>
      <c r="K157" s="30"/>
      <c r="L157" s="30"/>
      <c r="M157" s="30"/>
      <c r="N157" s="30"/>
      <c r="O157" s="21"/>
      <c r="P157" s="21"/>
      <c r="Q157" s="29"/>
    </row>
    <row r="158" ht="15.75" customHeight="1">
      <c r="H158" s="9"/>
      <c r="K158" s="30"/>
      <c r="L158" s="30"/>
      <c r="M158" s="30"/>
      <c r="N158" s="30"/>
      <c r="O158" s="21"/>
      <c r="P158" s="21"/>
      <c r="Q158" s="29"/>
    </row>
    <row r="159" ht="15.75" customHeight="1">
      <c r="H159" s="9"/>
      <c r="K159" s="30"/>
      <c r="L159" s="30"/>
      <c r="M159" s="30"/>
      <c r="N159" s="30"/>
      <c r="O159" s="21"/>
      <c r="P159" s="21"/>
      <c r="Q159" s="29"/>
    </row>
    <row r="160" ht="15.75" customHeight="1">
      <c r="H160" s="9"/>
      <c r="K160" s="30"/>
      <c r="L160" s="30"/>
      <c r="M160" s="30"/>
      <c r="N160" s="30"/>
      <c r="O160" s="21"/>
      <c r="P160" s="21"/>
      <c r="Q160" s="29"/>
    </row>
    <row r="161" ht="15.75" customHeight="1">
      <c r="H161" s="9"/>
      <c r="K161" s="30"/>
      <c r="L161" s="30"/>
      <c r="M161" s="30"/>
      <c r="N161" s="30"/>
      <c r="O161" s="21"/>
      <c r="P161" s="21"/>
      <c r="Q161" s="29"/>
    </row>
    <row r="162" ht="15.75" customHeight="1">
      <c r="H162" s="9"/>
      <c r="K162" s="30"/>
      <c r="L162" s="30"/>
      <c r="M162" s="30"/>
      <c r="N162" s="30"/>
      <c r="O162" s="21"/>
      <c r="P162" s="21"/>
      <c r="Q162" s="29"/>
    </row>
    <row r="163" ht="15.75" customHeight="1">
      <c r="H163" s="9"/>
      <c r="K163" s="30"/>
      <c r="L163" s="30"/>
      <c r="M163" s="30"/>
      <c r="N163" s="30"/>
      <c r="O163" s="21"/>
      <c r="P163" s="21"/>
      <c r="Q163" s="29"/>
    </row>
    <row r="164" ht="15.75" customHeight="1">
      <c r="H164" s="9"/>
      <c r="K164" s="30"/>
      <c r="L164" s="30"/>
      <c r="M164" s="30"/>
      <c r="N164" s="30"/>
      <c r="O164" s="21"/>
      <c r="P164" s="21"/>
      <c r="Q164" s="29"/>
    </row>
    <row r="165" ht="15.75" customHeight="1">
      <c r="H165" s="9"/>
      <c r="K165" s="30"/>
      <c r="L165" s="30"/>
      <c r="M165" s="30"/>
      <c r="N165" s="30"/>
      <c r="O165" s="21"/>
      <c r="P165" s="21"/>
      <c r="Q165" s="29"/>
    </row>
    <row r="166" ht="15.75" customHeight="1">
      <c r="H166" s="9"/>
      <c r="K166" s="30"/>
      <c r="L166" s="30"/>
      <c r="M166" s="30"/>
      <c r="N166" s="30"/>
      <c r="O166" s="21"/>
      <c r="P166" s="21"/>
      <c r="Q166" s="29"/>
    </row>
    <row r="167" ht="15.75" customHeight="1">
      <c r="H167" s="9"/>
      <c r="K167" s="30"/>
      <c r="L167" s="30"/>
      <c r="M167" s="30"/>
      <c r="N167" s="30"/>
      <c r="O167" s="21"/>
      <c r="P167" s="21"/>
      <c r="Q167" s="29"/>
    </row>
    <row r="168" ht="15.75" customHeight="1">
      <c r="H168" s="9"/>
      <c r="K168" s="30"/>
      <c r="L168" s="30"/>
      <c r="M168" s="30"/>
      <c r="N168" s="30"/>
      <c r="O168" s="21"/>
      <c r="P168" s="21"/>
      <c r="Q168" s="29"/>
    </row>
    <row r="169" ht="15.75" customHeight="1">
      <c r="H169" s="9"/>
      <c r="K169" s="30"/>
      <c r="L169" s="30"/>
      <c r="M169" s="30"/>
      <c r="N169" s="30"/>
      <c r="O169" s="21"/>
      <c r="P169" s="21"/>
      <c r="Q169" s="29"/>
    </row>
    <row r="170" ht="15.75" customHeight="1">
      <c r="H170" s="9"/>
      <c r="K170" s="30"/>
      <c r="L170" s="30"/>
      <c r="M170" s="30"/>
      <c r="N170" s="30"/>
      <c r="O170" s="21"/>
      <c r="P170" s="21"/>
      <c r="Q170" s="29"/>
    </row>
    <row r="171" ht="15.75" customHeight="1">
      <c r="H171" s="9"/>
      <c r="K171" s="30"/>
      <c r="L171" s="30"/>
      <c r="M171" s="30"/>
      <c r="N171" s="30"/>
      <c r="O171" s="21"/>
      <c r="P171" s="21"/>
      <c r="Q171" s="29"/>
    </row>
    <row r="172" ht="15.75" customHeight="1">
      <c r="H172" s="9"/>
      <c r="K172" s="30"/>
      <c r="L172" s="30"/>
      <c r="M172" s="30"/>
      <c r="N172" s="30"/>
      <c r="O172" s="21"/>
      <c r="P172" s="21"/>
      <c r="Q172" s="29"/>
    </row>
    <row r="173" ht="15.75" customHeight="1">
      <c r="H173" s="9"/>
      <c r="K173" s="30"/>
      <c r="L173" s="30"/>
      <c r="M173" s="30"/>
      <c r="N173" s="30"/>
      <c r="O173" s="21"/>
      <c r="P173" s="21"/>
      <c r="Q173" s="29"/>
    </row>
    <row r="174" ht="15.75" customHeight="1">
      <c r="H174" s="9"/>
      <c r="K174" s="30"/>
      <c r="L174" s="30"/>
      <c r="M174" s="30"/>
      <c r="N174" s="30"/>
      <c r="O174" s="21"/>
      <c r="P174" s="21"/>
      <c r="Q174" s="29"/>
    </row>
    <row r="175" ht="15.75" customHeight="1">
      <c r="H175" s="9"/>
      <c r="K175" s="30"/>
      <c r="L175" s="30"/>
      <c r="M175" s="30"/>
      <c r="N175" s="30"/>
      <c r="O175" s="21"/>
      <c r="P175" s="21"/>
      <c r="Q175" s="29"/>
    </row>
    <row r="176" ht="15.75" customHeight="1">
      <c r="H176" s="9"/>
      <c r="K176" s="30"/>
      <c r="L176" s="30"/>
      <c r="M176" s="30"/>
      <c r="N176" s="30"/>
      <c r="O176" s="21"/>
      <c r="P176" s="21"/>
      <c r="Q176" s="29"/>
    </row>
    <row r="177" ht="15.75" customHeight="1">
      <c r="H177" s="9"/>
      <c r="K177" s="30"/>
      <c r="L177" s="30"/>
      <c r="M177" s="30"/>
      <c r="N177" s="30"/>
      <c r="O177" s="21"/>
      <c r="P177" s="21"/>
      <c r="Q177" s="29"/>
    </row>
    <row r="178" ht="15.75" customHeight="1">
      <c r="H178" s="9"/>
      <c r="K178" s="30"/>
      <c r="L178" s="30"/>
      <c r="M178" s="30"/>
      <c r="N178" s="30"/>
      <c r="O178" s="21"/>
      <c r="P178" s="21"/>
      <c r="Q178" s="29"/>
    </row>
    <row r="179" ht="15.75" customHeight="1">
      <c r="H179" s="9"/>
      <c r="K179" s="30"/>
      <c r="L179" s="30"/>
      <c r="M179" s="30"/>
      <c r="N179" s="30"/>
      <c r="O179" s="21"/>
      <c r="P179" s="21"/>
      <c r="Q179" s="29"/>
    </row>
    <row r="180" ht="15.75" customHeight="1">
      <c r="H180" s="9"/>
      <c r="K180" s="30"/>
      <c r="L180" s="30"/>
      <c r="M180" s="30"/>
      <c r="N180" s="30"/>
      <c r="O180" s="21"/>
      <c r="P180" s="21"/>
      <c r="Q180" s="29"/>
    </row>
    <row r="181" ht="15.75" customHeight="1">
      <c r="H181" s="9"/>
      <c r="K181" s="30"/>
      <c r="L181" s="30"/>
      <c r="M181" s="30"/>
      <c r="N181" s="30"/>
      <c r="O181" s="21"/>
      <c r="P181" s="21"/>
      <c r="Q181" s="29"/>
    </row>
    <row r="182" ht="15.75" customHeight="1">
      <c r="H182" s="9"/>
      <c r="K182" s="30"/>
      <c r="L182" s="30"/>
      <c r="M182" s="30"/>
      <c r="N182" s="30"/>
      <c r="O182" s="21"/>
      <c r="P182" s="21"/>
      <c r="Q182" s="29"/>
    </row>
    <row r="183" ht="15.75" customHeight="1">
      <c r="H183" s="9"/>
      <c r="K183" s="30"/>
      <c r="L183" s="30"/>
      <c r="M183" s="30"/>
      <c r="N183" s="30"/>
      <c r="O183" s="21"/>
      <c r="P183" s="21"/>
      <c r="Q183" s="29"/>
    </row>
    <row r="184" ht="15.75" customHeight="1">
      <c r="H184" s="9"/>
      <c r="K184" s="30"/>
      <c r="L184" s="30"/>
      <c r="M184" s="30"/>
      <c r="N184" s="30"/>
      <c r="O184" s="21"/>
      <c r="P184" s="21"/>
      <c r="Q184" s="29"/>
    </row>
    <row r="185" ht="15.75" customHeight="1">
      <c r="H185" s="9"/>
      <c r="K185" s="30"/>
      <c r="L185" s="30"/>
      <c r="M185" s="30"/>
      <c r="N185" s="30"/>
      <c r="O185" s="21"/>
      <c r="P185" s="21"/>
      <c r="Q185" s="29"/>
    </row>
    <row r="186" ht="15.75" customHeight="1">
      <c r="H186" s="9"/>
      <c r="K186" s="30"/>
      <c r="L186" s="30"/>
      <c r="M186" s="30"/>
      <c r="N186" s="30"/>
      <c r="O186" s="21"/>
      <c r="P186" s="21"/>
      <c r="Q186" s="29"/>
    </row>
    <row r="187" ht="15.75" customHeight="1">
      <c r="H187" s="9"/>
      <c r="K187" s="30"/>
      <c r="L187" s="30"/>
      <c r="M187" s="30"/>
      <c r="N187" s="30"/>
      <c r="O187" s="21"/>
      <c r="P187" s="21"/>
      <c r="Q187" s="29"/>
    </row>
    <row r="188" ht="15.75" customHeight="1">
      <c r="H188" s="9"/>
      <c r="K188" s="30"/>
      <c r="L188" s="30"/>
      <c r="M188" s="30"/>
      <c r="N188" s="30"/>
      <c r="O188" s="21"/>
      <c r="P188" s="21"/>
      <c r="Q188" s="29"/>
    </row>
    <row r="189" ht="15.75" customHeight="1">
      <c r="H189" s="9"/>
      <c r="K189" s="30"/>
      <c r="L189" s="30"/>
      <c r="M189" s="30"/>
      <c r="N189" s="30"/>
      <c r="O189" s="21"/>
      <c r="P189" s="21"/>
      <c r="Q189" s="29"/>
    </row>
    <row r="190" ht="15.75" customHeight="1">
      <c r="H190" s="9"/>
      <c r="K190" s="30"/>
      <c r="L190" s="30"/>
      <c r="M190" s="30"/>
      <c r="N190" s="30"/>
      <c r="O190" s="21"/>
      <c r="P190" s="21"/>
      <c r="Q190" s="29"/>
    </row>
    <row r="191" ht="15.75" customHeight="1">
      <c r="H191" s="9"/>
      <c r="K191" s="30"/>
      <c r="L191" s="30"/>
      <c r="M191" s="30"/>
      <c r="N191" s="30"/>
      <c r="O191" s="21"/>
      <c r="P191" s="21"/>
      <c r="Q191" s="29"/>
    </row>
    <row r="192" ht="15.75" customHeight="1">
      <c r="H192" s="9"/>
      <c r="K192" s="30"/>
      <c r="L192" s="30"/>
      <c r="M192" s="30"/>
      <c r="N192" s="30"/>
      <c r="O192" s="21"/>
      <c r="P192" s="21"/>
      <c r="Q192" s="29"/>
    </row>
    <row r="193" ht="15.75" customHeight="1">
      <c r="H193" s="9"/>
      <c r="K193" s="30"/>
      <c r="L193" s="30"/>
      <c r="M193" s="30"/>
      <c r="N193" s="30"/>
      <c r="O193" s="21"/>
      <c r="P193" s="21"/>
      <c r="Q193" s="29"/>
    </row>
    <row r="194" ht="15.75" customHeight="1">
      <c r="H194" s="9"/>
      <c r="K194" s="30"/>
      <c r="L194" s="30"/>
      <c r="M194" s="30"/>
      <c r="N194" s="30"/>
      <c r="O194" s="21"/>
      <c r="P194" s="21"/>
      <c r="Q194" s="29"/>
    </row>
    <row r="195" ht="15.75" customHeight="1">
      <c r="H195" s="9"/>
      <c r="K195" s="30"/>
      <c r="L195" s="30"/>
      <c r="M195" s="30"/>
      <c r="N195" s="30"/>
      <c r="O195" s="21"/>
      <c r="P195" s="21"/>
      <c r="Q195" s="29"/>
    </row>
    <row r="196" ht="15.75" customHeight="1">
      <c r="H196" s="9"/>
      <c r="K196" s="30"/>
      <c r="L196" s="30"/>
      <c r="M196" s="30"/>
      <c r="N196" s="30"/>
      <c r="O196" s="21"/>
      <c r="P196" s="21"/>
      <c r="Q196" s="29"/>
    </row>
    <row r="197" ht="15.75" customHeight="1">
      <c r="H197" s="9"/>
      <c r="K197" s="30"/>
      <c r="L197" s="30"/>
      <c r="M197" s="30"/>
      <c r="N197" s="30"/>
      <c r="O197" s="21"/>
      <c r="P197" s="21"/>
      <c r="Q197" s="29"/>
    </row>
    <row r="198" ht="15.75" customHeight="1">
      <c r="H198" s="9"/>
      <c r="K198" s="30"/>
      <c r="L198" s="30"/>
      <c r="M198" s="30"/>
      <c r="N198" s="30"/>
      <c r="O198" s="21"/>
      <c r="P198" s="21"/>
      <c r="Q198" s="29"/>
    </row>
    <row r="199" ht="15.75" customHeight="1">
      <c r="H199" s="9"/>
      <c r="K199" s="30"/>
      <c r="L199" s="30"/>
      <c r="M199" s="30"/>
      <c r="N199" s="30"/>
      <c r="O199" s="21"/>
      <c r="P199" s="21"/>
      <c r="Q199" s="29"/>
    </row>
    <row r="200" ht="15.75" customHeight="1">
      <c r="H200" s="9"/>
      <c r="K200" s="30"/>
      <c r="L200" s="30"/>
      <c r="M200" s="30"/>
      <c r="N200" s="30"/>
      <c r="O200" s="21"/>
      <c r="P200" s="21"/>
      <c r="Q200" s="29"/>
    </row>
    <row r="201" ht="15.75" customHeight="1">
      <c r="H201" s="9"/>
      <c r="K201" s="30"/>
      <c r="L201" s="30"/>
      <c r="M201" s="30"/>
      <c r="N201" s="30"/>
      <c r="O201" s="21"/>
      <c r="P201" s="21"/>
      <c r="Q201" s="29"/>
    </row>
    <row r="202" ht="15.75" customHeight="1">
      <c r="H202" s="9"/>
      <c r="K202" s="30"/>
      <c r="L202" s="30"/>
      <c r="M202" s="30"/>
      <c r="N202" s="30"/>
      <c r="O202" s="21"/>
      <c r="P202" s="21"/>
      <c r="Q202" s="29"/>
    </row>
    <row r="203" ht="15.75" customHeight="1">
      <c r="H203" s="9"/>
      <c r="K203" s="30"/>
      <c r="L203" s="30"/>
      <c r="M203" s="30"/>
      <c r="N203" s="30"/>
      <c r="O203" s="21"/>
      <c r="P203" s="21"/>
      <c r="Q203" s="29"/>
    </row>
    <row r="204" ht="15.75" customHeight="1">
      <c r="H204" s="9"/>
      <c r="K204" s="30"/>
      <c r="L204" s="30"/>
      <c r="M204" s="30"/>
      <c r="N204" s="30"/>
      <c r="O204" s="21"/>
      <c r="P204" s="21"/>
      <c r="Q204" s="29"/>
    </row>
    <row r="205" ht="15.75" customHeight="1">
      <c r="H205" s="9"/>
      <c r="K205" s="30"/>
      <c r="L205" s="30"/>
      <c r="M205" s="30"/>
      <c r="N205" s="30"/>
      <c r="O205" s="21"/>
      <c r="P205" s="21"/>
      <c r="Q205" s="29"/>
    </row>
    <row r="206" ht="15.75" customHeight="1">
      <c r="H206" s="9"/>
      <c r="K206" s="30"/>
      <c r="L206" s="30"/>
      <c r="M206" s="30"/>
      <c r="N206" s="30"/>
      <c r="O206" s="21"/>
      <c r="P206" s="21"/>
      <c r="Q206" s="29"/>
    </row>
    <row r="207" ht="15.75" customHeight="1">
      <c r="H207" s="9"/>
      <c r="K207" s="30"/>
      <c r="L207" s="30"/>
      <c r="M207" s="30"/>
      <c r="N207" s="30"/>
      <c r="O207" s="21"/>
      <c r="P207" s="21"/>
      <c r="Q207" s="29"/>
    </row>
    <row r="208" ht="15.75" customHeight="1">
      <c r="H208" s="9"/>
      <c r="K208" s="30"/>
      <c r="L208" s="30"/>
      <c r="M208" s="30"/>
      <c r="N208" s="30"/>
      <c r="O208" s="21"/>
      <c r="P208" s="21"/>
      <c r="Q208" s="29"/>
    </row>
    <row r="209" ht="15.75" customHeight="1">
      <c r="H209" s="9"/>
      <c r="K209" s="30"/>
      <c r="L209" s="30"/>
      <c r="M209" s="30"/>
      <c r="N209" s="30"/>
      <c r="O209" s="21"/>
      <c r="P209" s="21"/>
      <c r="Q209" s="29"/>
    </row>
    <row r="210" ht="15.75" customHeight="1">
      <c r="H210" s="9"/>
      <c r="K210" s="30"/>
      <c r="L210" s="30"/>
      <c r="M210" s="30"/>
      <c r="N210" s="30"/>
      <c r="O210" s="21"/>
      <c r="P210" s="21"/>
      <c r="Q210" s="29"/>
    </row>
    <row r="211" ht="15.75" customHeight="1">
      <c r="H211" s="9"/>
      <c r="K211" s="30"/>
      <c r="L211" s="30"/>
      <c r="M211" s="30"/>
      <c r="N211" s="30"/>
      <c r="O211" s="21"/>
      <c r="P211" s="21"/>
      <c r="Q211" s="29"/>
    </row>
    <row r="212" ht="15.75" customHeight="1">
      <c r="H212" s="9"/>
      <c r="K212" s="30"/>
      <c r="L212" s="30"/>
      <c r="M212" s="30"/>
      <c r="N212" s="30"/>
      <c r="O212" s="21"/>
      <c r="P212" s="21"/>
      <c r="Q212" s="29"/>
    </row>
    <row r="213" ht="15.75" customHeight="1">
      <c r="H213" s="9"/>
      <c r="K213" s="30"/>
      <c r="L213" s="30"/>
      <c r="M213" s="30"/>
      <c r="N213" s="30"/>
      <c r="O213" s="21"/>
      <c r="P213" s="21"/>
      <c r="Q213" s="29"/>
    </row>
    <row r="214" ht="15.75" customHeight="1">
      <c r="H214" s="9"/>
      <c r="K214" s="30"/>
      <c r="L214" s="30"/>
      <c r="M214" s="30"/>
      <c r="N214" s="30"/>
      <c r="O214" s="21"/>
      <c r="P214" s="21"/>
      <c r="Q214" s="29"/>
    </row>
    <row r="215" ht="15.75" customHeight="1">
      <c r="H215" s="9"/>
      <c r="K215" s="30"/>
      <c r="L215" s="30"/>
      <c r="M215" s="30"/>
      <c r="N215" s="30"/>
      <c r="O215" s="21"/>
      <c r="P215" s="21"/>
      <c r="Q215" s="29"/>
    </row>
    <row r="216" ht="15.75" customHeight="1">
      <c r="H216" s="9"/>
      <c r="K216" s="30"/>
      <c r="L216" s="30"/>
      <c r="M216" s="30"/>
      <c r="N216" s="30"/>
      <c r="O216" s="21"/>
      <c r="P216" s="21"/>
      <c r="Q216" s="29"/>
    </row>
    <row r="217" ht="15.75" customHeight="1">
      <c r="H217" s="9"/>
      <c r="K217" s="30"/>
      <c r="L217" s="30"/>
      <c r="M217" s="30"/>
      <c r="N217" s="30"/>
      <c r="O217" s="21"/>
      <c r="P217" s="21"/>
      <c r="Q217" s="29"/>
    </row>
    <row r="218" ht="15.75" customHeight="1">
      <c r="H218" s="9"/>
      <c r="K218" s="30"/>
      <c r="L218" s="30"/>
      <c r="M218" s="30"/>
      <c r="N218" s="30"/>
      <c r="O218" s="21"/>
      <c r="P218" s="21"/>
      <c r="Q218" s="29"/>
    </row>
    <row r="219" ht="15.75" customHeight="1">
      <c r="H219" s="9"/>
      <c r="K219" s="30"/>
      <c r="L219" s="30"/>
      <c r="M219" s="30"/>
      <c r="N219" s="30"/>
      <c r="O219" s="21"/>
      <c r="P219" s="21"/>
      <c r="Q219" s="29"/>
    </row>
    <row r="220" ht="15.75" customHeight="1">
      <c r="H220" s="9"/>
      <c r="K220" s="30"/>
      <c r="L220" s="30"/>
      <c r="M220" s="30"/>
      <c r="N220" s="30"/>
      <c r="O220" s="21"/>
      <c r="P220" s="21"/>
      <c r="Q220" s="29"/>
    </row>
    <row r="221" ht="15.75" customHeight="1">
      <c r="H221" s="9"/>
      <c r="K221" s="30"/>
      <c r="L221" s="30"/>
      <c r="M221" s="30"/>
      <c r="N221" s="30"/>
      <c r="O221" s="21"/>
      <c r="P221" s="21"/>
      <c r="Q221" s="29"/>
    </row>
    <row r="222" ht="15.75" customHeight="1">
      <c r="H222" s="9"/>
      <c r="K222" s="30"/>
      <c r="L222" s="30"/>
      <c r="M222" s="30"/>
      <c r="N222" s="30"/>
      <c r="O222" s="21"/>
      <c r="P222" s="21"/>
      <c r="Q222" s="29"/>
    </row>
    <row r="223" ht="15.75" customHeight="1">
      <c r="H223" s="9"/>
      <c r="K223" s="30"/>
      <c r="L223" s="30"/>
      <c r="M223" s="30"/>
      <c r="N223" s="30"/>
      <c r="O223" s="21"/>
      <c r="P223" s="21"/>
      <c r="Q223" s="29"/>
    </row>
    <row r="224" ht="15.75" customHeight="1">
      <c r="H224" s="9"/>
      <c r="K224" s="30"/>
      <c r="L224" s="30"/>
      <c r="M224" s="30"/>
      <c r="N224" s="30"/>
      <c r="O224" s="21"/>
      <c r="P224" s="21"/>
      <c r="Q224" s="29"/>
    </row>
    <row r="225" ht="15.75" customHeight="1">
      <c r="H225" s="9"/>
      <c r="K225" s="30"/>
      <c r="L225" s="30"/>
      <c r="M225" s="30"/>
      <c r="N225" s="30"/>
      <c r="O225" s="21"/>
      <c r="P225" s="21"/>
      <c r="Q225" s="29"/>
    </row>
    <row r="226" ht="15.75" customHeight="1">
      <c r="H226" s="9"/>
      <c r="K226" s="30"/>
      <c r="L226" s="30"/>
      <c r="M226" s="30"/>
      <c r="N226" s="30"/>
      <c r="O226" s="21"/>
      <c r="P226" s="21"/>
      <c r="Q226" s="29"/>
    </row>
    <row r="227" ht="15.75" customHeight="1">
      <c r="H227" s="9"/>
      <c r="K227" s="30"/>
      <c r="L227" s="30"/>
      <c r="M227" s="30"/>
      <c r="N227" s="30"/>
      <c r="O227" s="21"/>
      <c r="P227" s="21"/>
      <c r="Q227" s="29"/>
    </row>
    <row r="228" ht="15.75" customHeight="1">
      <c r="H228" s="9"/>
      <c r="K228" s="30"/>
      <c r="L228" s="30"/>
      <c r="M228" s="30"/>
      <c r="N228" s="30"/>
      <c r="O228" s="21"/>
      <c r="P228" s="21"/>
      <c r="Q228" s="29"/>
    </row>
    <row r="229" ht="15.75" customHeight="1">
      <c r="H229" s="9"/>
      <c r="K229" s="30"/>
      <c r="L229" s="30"/>
      <c r="M229" s="30"/>
      <c r="N229" s="30"/>
      <c r="O229" s="21"/>
      <c r="P229" s="21"/>
      <c r="Q229" s="29"/>
    </row>
    <row r="230" ht="15.75" customHeight="1">
      <c r="H230" s="9"/>
      <c r="K230" s="30"/>
      <c r="L230" s="30"/>
      <c r="M230" s="30"/>
      <c r="N230" s="30"/>
      <c r="O230" s="21"/>
      <c r="P230" s="21"/>
      <c r="Q230" s="29"/>
    </row>
    <row r="231" ht="15.75" customHeight="1">
      <c r="H231" s="9"/>
      <c r="K231" s="30"/>
      <c r="L231" s="30"/>
      <c r="M231" s="30"/>
      <c r="N231" s="30"/>
      <c r="O231" s="21"/>
      <c r="P231" s="21"/>
      <c r="Q231" s="29"/>
    </row>
    <row r="232" ht="15.75" customHeight="1">
      <c r="H232" s="9"/>
      <c r="K232" s="30"/>
      <c r="L232" s="30"/>
      <c r="M232" s="30"/>
      <c r="N232" s="30"/>
      <c r="O232" s="21"/>
      <c r="P232" s="21"/>
      <c r="Q232" s="29"/>
    </row>
    <row r="233" ht="15.75" customHeight="1">
      <c r="H233" s="9"/>
      <c r="K233" s="30"/>
      <c r="L233" s="30"/>
      <c r="M233" s="30"/>
      <c r="N233" s="30"/>
      <c r="O233" s="21"/>
      <c r="P233" s="21"/>
      <c r="Q233" s="29"/>
    </row>
    <row r="234" ht="15.75" customHeight="1">
      <c r="H234" s="9"/>
      <c r="K234" s="30"/>
      <c r="L234" s="30"/>
      <c r="M234" s="30"/>
      <c r="N234" s="30"/>
      <c r="O234" s="21"/>
      <c r="P234" s="21"/>
      <c r="Q234" s="29"/>
    </row>
    <row r="235" ht="15.75" customHeight="1">
      <c r="H235" s="9"/>
      <c r="K235" s="30"/>
      <c r="L235" s="30"/>
      <c r="M235" s="30"/>
      <c r="N235" s="30"/>
      <c r="O235" s="21"/>
      <c r="P235" s="21"/>
      <c r="Q235" s="29"/>
    </row>
    <row r="236" ht="15.75" customHeight="1">
      <c r="H236" s="9"/>
      <c r="K236" s="30"/>
      <c r="L236" s="30"/>
      <c r="M236" s="30"/>
      <c r="N236" s="30"/>
      <c r="O236" s="21"/>
      <c r="P236" s="21"/>
      <c r="Q236" s="29"/>
    </row>
    <row r="237" ht="15.75" customHeight="1">
      <c r="H237" s="9"/>
      <c r="K237" s="30"/>
      <c r="L237" s="30"/>
      <c r="M237" s="30"/>
      <c r="N237" s="30"/>
      <c r="O237" s="21"/>
      <c r="P237" s="21"/>
      <c r="Q237" s="29"/>
    </row>
    <row r="238" ht="15.75" customHeight="1">
      <c r="H238" s="9"/>
      <c r="K238" s="30"/>
      <c r="L238" s="30"/>
      <c r="M238" s="30"/>
      <c r="N238" s="30"/>
      <c r="O238" s="21"/>
      <c r="P238" s="21"/>
      <c r="Q238" s="29"/>
    </row>
    <row r="239" ht="15.75" customHeight="1">
      <c r="H239" s="9"/>
      <c r="K239" s="30"/>
      <c r="L239" s="30"/>
      <c r="M239" s="30"/>
      <c r="N239" s="30"/>
      <c r="O239" s="21"/>
      <c r="P239" s="21"/>
      <c r="Q239" s="29"/>
    </row>
    <row r="240" ht="15.75" customHeight="1">
      <c r="H240" s="9"/>
      <c r="K240" s="30"/>
      <c r="L240" s="30"/>
      <c r="M240" s="30"/>
      <c r="N240" s="30"/>
      <c r="O240" s="21"/>
      <c r="P240" s="21"/>
      <c r="Q240" s="29"/>
    </row>
    <row r="241" ht="15.75" customHeight="1">
      <c r="H241" s="9"/>
      <c r="K241" s="30"/>
      <c r="L241" s="30"/>
      <c r="M241" s="30"/>
      <c r="N241" s="30"/>
      <c r="O241" s="21"/>
      <c r="P241" s="21"/>
      <c r="Q241" s="29"/>
    </row>
    <row r="242" ht="15.75" customHeight="1">
      <c r="H242" s="9"/>
      <c r="K242" s="30"/>
      <c r="L242" s="30"/>
      <c r="M242" s="30"/>
      <c r="N242" s="30"/>
      <c r="O242" s="21"/>
      <c r="P242" s="21"/>
      <c r="Q242" s="29"/>
    </row>
    <row r="243" ht="15.75" customHeight="1">
      <c r="H243" s="9"/>
      <c r="K243" s="30"/>
      <c r="L243" s="30"/>
      <c r="M243" s="30"/>
      <c r="N243" s="30"/>
      <c r="O243" s="21"/>
      <c r="P243" s="21"/>
      <c r="Q243" s="29"/>
    </row>
    <row r="244" ht="15.75" customHeight="1">
      <c r="H244" s="9"/>
      <c r="K244" s="30"/>
      <c r="L244" s="30"/>
      <c r="M244" s="30"/>
      <c r="N244" s="30"/>
      <c r="O244" s="21"/>
      <c r="P244" s="21"/>
      <c r="Q244" s="29"/>
    </row>
    <row r="245" ht="15.75" customHeight="1">
      <c r="H245" s="9"/>
      <c r="K245" s="30"/>
      <c r="L245" s="30"/>
      <c r="M245" s="30"/>
      <c r="N245" s="30"/>
      <c r="O245" s="21"/>
      <c r="P245" s="21"/>
      <c r="Q245" s="29"/>
    </row>
    <row r="246" ht="15.75" customHeight="1">
      <c r="H246" s="9"/>
      <c r="K246" s="30"/>
      <c r="L246" s="30"/>
      <c r="M246" s="30"/>
      <c r="N246" s="30"/>
      <c r="O246" s="21"/>
      <c r="P246" s="21"/>
      <c r="Q246" s="29"/>
    </row>
    <row r="247" ht="15.75" customHeight="1">
      <c r="H247" s="9"/>
      <c r="K247" s="30"/>
      <c r="L247" s="30"/>
      <c r="M247" s="30"/>
      <c r="N247" s="30"/>
      <c r="O247" s="21"/>
      <c r="P247" s="21"/>
      <c r="Q247" s="29"/>
    </row>
    <row r="248" ht="15.75" customHeight="1">
      <c r="H248" s="9"/>
      <c r="K248" s="30"/>
      <c r="L248" s="30"/>
      <c r="M248" s="30"/>
      <c r="N248" s="30"/>
      <c r="O248" s="21"/>
      <c r="P248" s="21"/>
      <c r="Q248" s="29"/>
    </row>
    <row r="249" ht="15.75" customHeight="1">
      <c r="H249" s="9"/>
      <c r="K249" s="30"/>
      <c r="L249" s="30"/>
      <c r="M249" s="30"/>
      <c r="N249" s="30"/>
      <c r="O249" s="21"/>
      <c r="P249" s="21"/>
      <c r="Q249" s="29"/>
    </row>
    <row r="250" ht="15.75" customHeight="1">
      <c r="H250" s="9"/>
      <c r="K250" s="30"/>
      <c r="L250" s="30"/>
      <c r="M250" s="30"/>
      <c r="N250" s="30"/>
      <c r="O250" s="21"/>
      <c r="P250" s="21"/>
      <c r="Q250" s="29"/>
    </row>
    <row r="251" ht="15.75" customHeight="1">
      <c r="H251" s="9"/>
      <c r="K251" s="30"/>
      <c r="L251" s="30"/>
      <c r="M251" s="30"/>
      <c r="N251" s="30"/>
      <c r="O251" s="21"/>
      <c r="P251" s="21"/>
      <c r="Q251" s="29"/>
    </row>
    <row r="252" ht="15.75" customHeight="1">
      <c r="H252" s="9"/>
      <c r="K252" s="30"/>
      <c r="L252" s="30"/>
      <c r="M252" s="30"/>
      <c r="N252" s="30"/>
      <c r="O252" s="21"/>
      <c r="P252" s="21"/>
      <c r="Q252" s="29"/>
    </row>
    <row r="253" ht="15.75" customHeight="1">
      <c r="H253" s="9"/>
      <c r="K253" s="30"/>
      <c r="L253" s="30"/>
      <c r="M253" s="30"/>
      <c r="N253" s="30"/>
      <c r="O253" s="21"/>
      <c r="P253" s="21"/>
      <c r="Q253" s="29"/>
    </row>
    <row r="254" ht="15.75" customHeight="1">
      <c r="H254" s="9"/>
      <c r="K254" s="30"/>
      <c r="L254" s="30"/>
      <c r="M254" s="30"/>
      <c r="N254" s="30"/>
      <c r="O254" s="21"/>
      <c r="P254" s="21"/>
      <c r="Q254" s="29"/>
    </row>
    <row r="255" ht="15.75" customHeight="1">
      <c r="H255" s="9"/>
      <c r="K255" s="30"/>
      <c r="L255" s="30"/>
      <c r="M255" s="30"/>
      <c r="N255" s="30"/>
      <c r="O255" s="21"/>
      <c r="P255" s="21"/>
      <c r="Q255" s="29"/>
    </row>
    <row r="256" ht="15.75" customHeight="1">
      <c r="H256" s="9"/>
      <c r="K256" s="30"/>
      <c r="L256" s="30"/>
      <c r="M256" s="30"/>
      <c r="N256" s="30"/>
      <c r="O256" s="21"/>
      <c r="P256" s="21"/>
      <c r="Q256" s="29"/>
    </row>
    <row r="257" ht="15.75" customHeight="1">
      <c r="H257" s="9"/>
      <c r="K257" s="30"/>
      <c r="L257" s="30"/>
      <c r="M257" s="30"/>
      <c r="N257" s="30"/>
      <c r="O257" s="21"/>
      <c r="P257" s="21"/>
      <c r="Q257" s="29"/>
    </row>
    <row r="258" ht="15.75" customHeight="1">
      <c r="H258" s="9"/>
      <c r="K258" s="30"/>
      <c r="L258" s="30"/>
      <c r="M258" s="30"/>
      <c r="N258" s="30"/>
      <c r="O258" s="21"/>
      <c r="P258" s="21"/>
      <c r="Q258" s="29"/>
    </row>
    <row r="259" ht="15.75" customHeight="1">
      <c r="H259" s="9"/>
      <c r="K259" s="30"/>
      <c r="L259" s="30"/>
      <c r="M259" s="30"/>
      <c r="N259" s="30"/>
      <c r="O259" s="21"/>
      <c r="P259" s="21"/>
      <c r="Q259" s="29"/>
    </row>
    <row r="260" ht="15.75" customHeight="1">
      <c r="H260" s="9"/>
      <c r="K260" s="30"/>
      <c r="L260" s="30"/>
      <c r="M260" s="30"/>
      <c r="N260" s="30"/>
      <c r="O260" s="21"/>
      <c r="P260" s="21"/>
      <c r="Q260" s="29"/>
    </row>
    <row r="261" ht="15.75" customHeight="1">
      <c r="H261" s="9"/>
      <c r="K261" s="30"/>
      <c r="L261" s="30"/>
      <c r="M261" s="30"/>
      <c r="N261" s="30"/>
      <c r="O261" s="21"/>
      <c r="P261" s="21"/>
      <c r="Q261" s="29"/>
    </row>
    <row r="262" ht="15.75" customHeight="1">
      <c r="H262" s="9"/>
      <c r="K262" s="30"/>
      <c r="L262" s="30"/>
      <c r="M262" s="30"/>
      <c r="N262" s="30"/>
      <c r="O262" s="21"/>
      <c r="P262" s="21"/>
      <c r="Q262" s="29"/>
    </row>
    <row r="263" ht="15.75" customHeight="1">
      <c r="H263" s="9"/>
      <c r="K263" s="30"/>
      <c r="L263" s="30"/>
      <c r="M263" s="30"/>
      <c r="N263" s="30"/>
      <c r="O263" s="21"/>
      <c r="P263" s="21"/>
      <c r="Q263" s="29"/>
    </row>
    <row r="264" ht="15.75" customHeight="1">
      <c r="H264" s="9"/>
      <c r="K264" s="30"/>
      <c r="L264" s="30"/>
      <c r="M264" s="30"/>
      <c r="N264" s="30"/>
      <c r="O264" s="21"/>
      <c r="P264" s="21"/>
      <c r="Q264" s="29"/>
    </row>
    <row r="265" ht="15.75" customHeight="1">
      <c r="H265" s="9"/>
      <c r="K265" s="30"/>
      <c r="L265" s="30"/>
      <c r="M265" s="30"/>
      <c r="N265" s="30"/>
      <c r="O265" s="21"/>
      <c r="P265" s="21"/>
      <c r="Q265" s="29"/>
    </row>
    <row r="266" ht="15.75" customHeight="1">
      <c r="H266" s="9"/>
      <c r="K266" s="30"/>
      <c r="L266" s="30"/>
      <c r="M266" s="30"/>
      <c r="N266" s="30"/>
      <c r="O266" s="21"/>
      <c r="P266" s="21"/>
      <c r="Q266" s="29"/>
    </row>
    <row r="267" ht="15.75" customHeight="1">
      <c r="H267" s="9"/>
      <c r="K267" s="30"/>
      <c r="L267" s="30"/>
      <c r="M267" s="30"/>
      <c r="N267" s="30"/>
      <c r="O267" s="21"/>
      <c r="P267" s="21"/>
      <c r="Q267" s="29"/>
    </row>
    <row r="268" ht="15.75" customHeight="1">
      <c r="H268" s="9"/>
      <c r="K268" s="30"/>
      <c r="L268" s="30"/>
      <c r="M268" s="30"/>
      <c r="N268" s="30"/>
      <c r="O268" s="21"/>
      <c r="P268" s="21"/>
      <c r="Q268" s="29"/>
    </row>
    <row r="269" ht="15.75" customHeight="1">
      <c r="H269" s="9"/>
      <c r="K269" s="30"/>
      <c r="L269" s="30"/>
      <c r="M269" s="30"/>
      <c r="N269" s="30"/>
      <c r="O269" s="21"/>
      <c r="P269" s="21"/>
      <c r="Q269" s="29"/>
    </row>
    <row r="270" ht="15.75" customHeight="1">
      <c r="H270" s="9"/>
      <c r="K270" s="30"/>
      <c r="L270" s="30"/>
      <c r="M270" s="30"/>
      <c r="N270" s="30"/>
      <c r="O270" s="21"/>
      <c r="P270" s="21"/>
      <c r="Q270" s="29"/>
    </row>
    <row r="271" ht="15.75" customHeight="1">
      <c r="H271" s="9"/>
      <c r="K271" s="30"/>
      <c r="L271" s="30"/>
      <c r="M271" s="30"/>
      <c r="N271" s="30"/>
      <c r="O271" s="21"/>
      <c r="P271" s="21"/>
      <c r="Q271" s="29"/>
    </row>
    <row r="272" ht="15.75" customHeight="1">
      <c r="H272" s="9"/>
      <c r="K272" s="30"/>
      <c r="L272" s="30"/>
      <c r="M272" s="30"/>
      <c r="N272" s="30"/>
      <c r="O272" s="21"/>
      <c r="P272" s="21"/>
      <c r="Q272" s="29"/>
    </row>
    <row r="273" ht="15.75" customHeight="1">
      <c r="H273" s="9"/>
      <c r="K273" s="30"/>
      <c r="L273" s="30"/>
      <c r="M273" s="30"/>
      <c r="N273" s="30"/>
      <c r="O273" s="21"/>
      <c r="P273" s="21"/>
      <c r="Q273" s="29"/>
    </row>
    <row r="274" ht="15.75" customHeight="1">
      <c r="H274" s="9"/>
      <c r="K274" s="30"/>
      <c r="L274" s="30"/>
      <c r="M274" s="30"/>
      <c r="N274" s="30"/>
      <c r="O274" s="21"/>
      <c r="P274" s="21"/>
      <c r="Q274" s="29"/>
    </row>
    <row r="275" ht="15.75" customHeight="1">
      <c r="H275" s="9"/>
      <c r="K275" s="30"/>
      <c r="L275" s="30"/>
      <c r="M275" s="30"/>
      <c r="N275" s="30"/>
      <c r="O275" s="21"/>
      <c r="P275" s="21"/>
      <c r="Q275" s="29"/>
    </row>
    <row r="276" ht="15.75" customHeight="1">
      <c r="H276" s="9"/>
      <c r="K276" s="30"/>
      <c r="L276" s="30"/>
      <c r="M276" s="30"/>
      <c r="N276" s="30"/>
      <c r="O276" s="21"/>
      <c r="P276" s="21"/>
      <c r="Q276" s="29"/>
    </row>
    <row r="277" ht="15.75" customHeight="1">
      <c r="H277" s="9"/>
      <c r="K277" s="30"/>
      <c r="L277" s="30"/>
      <c r="M277" s="30"/>
      <c r="N277" s="30"/>
      <c r="O277" s="21"/>
      <c r="P277" s="21"/>
      <c r="Q277" s="29"/>
    </row>
    <row r="278" ht="15.75" customHeight="1">
      <c r="H278" s="9"/>
      <c r="K278" s="30"/>
      <c r="L278" s="30"/>
      <c r="M278" s="30"/>
      <c r="N278" s="30"/>
      <c r="O278" s="21"/>
      <c r="P278" s="21"/>
      <c r="Q278" s="29"/>
    </row>
    <row r="279" ht="15.75" customHeight="1">
      <c r="H279" s="9"/>
      <c r="K279" s="30"/>
      <c r="L279" s="30"/>
      <c r="M279" s="30"/>
      <c r="N279" s="30"/>
      <c r="O279" s="21"/>
      <c r="P279" s="21"/>
      <c r="Q279" s="29"/>
    </row>
    <row r="280" ht="15.75" customHeight="1">
      <c r="H280" s="9"/>
      <c r="K280" s="30"/>
      <c r="L280" s="30"/>
      <c r="M280" s="30"/>
      <c r="N280" s="30"/>
      <c r="O280" s="21"/>
      <c r="P280" s="21"/>
      <c r="Q280" s="29"/>
    </row>
    <row r="281" ht="15.75" customHeight="1">
      <c r="H281" s="9"/>
      <c r="K281" s="30"/>
      <c r="L281" s="30"/>
      <c r="M281" s="30"/>
      <c r="N281" s="30"/>
      <c r="O281" s="21"/>
      <c r="P281" s="21"/>
      <c r="Q281" s="29"/>
    </row>
    <row r="282" ht="15.75" customHeight="1">
      <c r="H282" s="9"/>
      <c r="K282" s="30"/>
      <c r="L282" s="30"/>
      <c r="M282" s="30"/>
      <c r="N282" s="30"/>
      <c r="O282" s="21"/>
      <c r="P282" s="21"/>
      <c r="Q282" s="29"/>
    </row>
    <row r="283" ht="15.75" customHeight="1">
      <c r="H283" s="9"/>
      <c r="K283" s="30"/>
      <c r="L283" s="30"/>
      <c r="M283" s="30"/>
      <c r="N283" s="30"/>
      <c r="O283" s="21"/>
      <c r="P283" s="21"/>
      <c r="Q283" s="29"/>
    </row>
    <row r="284" ht="15.75" customHeight="1">
      <c r="H284" s="9"/>
      <c r="K284" s="30"/>
      <c r="L284" s="30"/>
      <c r="M284" s="30"/>
      <c r="N284" s="30"/>
      <c r="O284" s="21"/>
      <c r="P284" s="21"/>
      <c r="Q284" s="29"/>
    </row>
    <row r="285" ht="15.75" customHeight="1">
      <c r="H285" s="9"/>
      <c r="K285" s="30"/>
      <c r="L285" s="30"/>
      <c r="M285" s="30"/>
      <c r="N285" s="30"/>
      <c r="O285" s="21"/>
      <c r="P285" s="21"/>
      <c r="Q285" s="29"/>
    </row>
    <row r="286" ht="15.75" customHeight="1">
      <c r="H286" s="9"/>
      <c r="K286" s="30"/>
      <c r="L286" s="30"/>
      <c r="M286" s="30"/>
      <c r="N286" s="30"/>
      <c r="O286" s="21"/>
      <c r="P286" s="21"/>
      <c r="Q286" s="29"/>
    </row>
    <row r="287" ht="15.75" customHeight="1">
      <c r="H287" s="9"/>
      <c r="K287" s="30"/>
      <c r="L287" s="30"/>
      <c r="M287" s="30"/>
      <c r="N287" s="30"/>
      <c r="O287" s="21"/>
      <c r="P287" s="21"/>
      <c r="Q287" s="29"/>
    </row>
    <row r="288" ht="15.75" customHeight="1">
      <c r="H288" s="9"/>
      <c r="K288" s="30"/>
      <c r="L288" s="30"/>
      <c r="M288" s="30"/>
      <c r="N288" s="30"/>
      <c r="O288" s="21"/>
      <c r="P288" s="21"/>
      <c r="Q288" s="29"/>
    </row>
    <row r="289" ht="15.75" customHeight="1">
      <c r="H289" s="9"/>
      <c r="K289" s="30"/>
      <c r="L289" s="30"/>
      <c r="M289" s="30"/>
      <c r="N289" s="30"/>
      <c r="O289" s="21"/>
      <c r="P289" s="21"/>
      <c r="Q289" s="29"/>
    </row>
    <row r="290" ht="15.75" customHeight="1">
      <c r="H290" s="9"/>
      <c r="K290" s="30"/>
      <c r="L290" s="30"/>
      <c r="M290" s="30"/>
      <c r="N290" s="30"/>
      <c r="O290" s="21"/>
      <c r="P290" s="21"/>
      <c r="Q290" s="29"/>
    </row>
    <row r="291" ht="15.75" customHeight="1">
      <c r="H291" s="9"/>
      <c r="K291" s="30"/>
      <c r="L291" s="30"/>
      <c r="M291" s="30"/>
      <c r="N291" s="30"/>
      <c r="O291" s="21"/>
      <c r="P291" s="21"/>
      <c r="Q291" s="29"/>
    </row>
    <row r="292" ht="15.75" customHeight="1">
      <c r="H292" s="9"/>
      <c r="K292" s="30"/>
      <c r="L292" s="30"/>
      <c r="M292" s="30"/>
      <c r="N292" s="30"/>
      <c r="O292" s="21"/>
      <c r="P292" s="21"/>
      <c r="Q292" s="29"/>
    </row>
    <row r="293" ht="15.75" customHeight="1">
      <c r="H293" s="9"/>
      <c r="K293" s="30"/>
      <c r="L293" s="30"/>
      <c r="M293" s="30"/>
      <c r="N293" s="30"/>
      <c r="O293" s="21"/>
      <c r="P293" s="21"/>
      <c r="Q293" s="29"/>
    </row>
    <row r="294" ht="15.75" customHeight="1">
      <c r="H294" s="9"/>
      <c r="K294" s="30"/>
      <c r="L294" s="30"/>
      <c r="M294" s="30"/>
      <c r="N294" s="30"/>
      <c r="O294" s="21"/>
      <c r="P294" s="21"/>
      <c r="Q294" s="29"/>
    </row>
    <row r="295" ht="15.75" customHeight="1">
      <c r="H295" s="9"/>
      <c r="K295" s="30"/>
      <c r="L295" s="30"/>
      <c r="M295" s="30"/>
      <c r="N295" s="30"/>
      <c r="O295" s="21"/>
      <c r="P295" s="21"/>
      <c r="Q295" s="29"/>
    </row>
    <row r="296" ht="15.75" customHeight="1">
      <c r="H296" s="9"/>
      <c r="K296" s="30"/>
      <c r="L296" s="30"/>
      <c r="M296" s="30"/>
      <c r="N296" s="30"/>
      <c r="O296" s="21"/>
      <c r="P296" s="21"/>
      <c r="Q296" s="29"/>
    </row>
    <row r="297" ht="15.75" customHeight="1">
      <c r="H297" s="9"/>
      <c r="K297" s="30"/>
      <c r="L297" s="30"/>
      <c r="M297" s="30"/>
      <c r="N297" s="30"/>
      <c r="O297" s="21"/>
      <c r="P297" s="21"/>
      <c r="Q297" s="29"/>
    </row>
    <row r="298" ht="15.75" customHeight="1">
      <c r="H298" s="9"/>
      <c r="K298" s="30"/>
      <c r="L298" s="30"/>
      <c r="M298" s="30"/>
      <c r="N298" s="30"/>
      <c r="O298" s="21"/>
      <c r="P298" s="21"/>
      <c r="Q298" s="29"/>
    </row>
    <row r="299" ht="15.75" customHeight="1">
      <c r="H299" s="9"/>
      <c r="K299" s="30"/>
      <c r="L299" s="30"/>
      <c r="M299" s="30"/>
      <c r="N299" s="30"/>
      <c r="O299" s="21"/>
      <c r="P299" s="21"/>
      <c r="Q299" s="29"/>
    </row>
    <row r="300" ht="15.75" customHeight="1">
      <c r="H300" s="9"/>
      <c r="K300" s="30"/>
      <c r="L300" s="30"/>
      <c r="M300" s="30"/>
      <c r="N300" s="30"/>
      <c r="O300" s="21"/>
      <c r="P300" s="21"/>
      <c r="Q300" s="29"/>
    </row>
    <row r="301" ht="15.75" customHeight="1">
      <c r="H301" s="9"/>
      <c r="K301" s="30"/>
      <c r="L301" s="30"/>
      <c r="M301" s="30"/>
      <c r="N301" s="30"/>
      <c r="O301" s="21"/>
      <c r="P301" s="21"/>
      <c r="Q301" s="29"/>
    </row>
    <row r="302" ht="15.75" customHeight="1">
      <c r="H302" s="9"/>
      <c r="K302" s="30"/>
      <c r="L302" s="30"/>
      <c r="M302" s="30"/>
      <c r="N302" s="30"/>
      <c r="O302" s="21"/>
      <c r="P302" s="21"/>
      <c r="Q302" s="29"/>
    </row>
    <row r="303" ht="15.75" customHeight="1">
      <c r="H303" s="9"/>
      <c r="K303" s="30"/>
      <c r="L303" s="30"/>
      <c r="M303" s="30"/>
      <c r="N303" s="30"/>
      <c r="O303" s="21"/>
      <c r="P303" s="21"/>
      <c r="Q303" s="29"/>
    </row>
    <row r="304" ht="15.75" customHeight="1">
      <c r="H304" s="9"/>
      <c r="K304" s="30"/>
      <c r="L304" s="30"/>
      <c r="M304" s="30"/>
      <c r="N304" s="30"/>
      <c r="O304" s="21"/>
      <c r="P304" s="21"/>
      <c r="Q304" s="29"/>
    </row>
    <row r="305" ht="15.75" customHeight="1">
      <c r="H305" s="9"/>
      <c r="K305" s="30"/>
      <c r="L305" s="30"/>
      <c r="M305" s="30"/>
      <c r="N305" s="30"/>
      <c r="O305" s="21"/>
      <c r="P305" s="21"/>
      <c r="Q305" s="29"/>
    </row>
    <row r="306" ht="15.75" customHeight="1">
      <c r="H306" s="9"/>
      <c r="K306" s="30"/>
      <c r="L306" s="30"/>
      <c r="M306" s="30"/>
      <c r="N306" s="30"/>
      <c r="O306" s="21"/>
      <c r="P306" s="21"/>
      <c r="Q306" s="29"/>
    </row>
    <row r="307" ht="15.75" customHeight="1">
      <c r="H307" s="9"/>
      <c r="K307" s="30"/>
      <c r="L307" s="30"/>
      <c r="M307" s="30"/>
      <c r="N307" s="30"/>
      <c r="O307" s="21"/>
      <c r="P307" s="21"/>
      <c r="Q307" s="29"/>
    </row>
    <row r="308" ht="15.75" customHeight="1">
      <c r="H308" s="9"/>
      <c r="K308" s="30"/>
      <c r="L308" s="30"/>
      <c r="M308" s="30"/>
      <c r="N308" s="30"/>
      <c r="O308" s="21"/>
      <c r="P308" s="21"/>
      <c r="Q308" s="29"/>
    </row>
    <row r="309" ht="15.75" customHeight="1">
      <c r="H309" s="9"/>
      <c r="K309" s="30"/>
      <c r="L309" s="30"/>
      <c r="M309" s="30"/>
      <c r="N309" s="30"/>
      <c r="O309" s="21"/>
      <c r="P309" s="21"/>
      <c r="Q309" s="29"/>
    </row>
    <row r="310" ht="15.75" customHeight="1">
      <c r="H310" s="9"/>
      <c r="K310" s="30"/>
      <c r="L310" s="30"/>
      <c r="M310" s="30"/>
      <c r="N310" s="30"/>
      <c r="O310" s="21"/>
      <c r="P310" s="21"/>
      <c r="Q310" s="29"/>
    </row>
    <row r="311" ht="15.75" customHeight="1">
      <c r="H311" s="9"/>
      <c r="K311" s="30"/>
      <c r="L311" s="30"/>
      <c r="M311" s="30"/>
      <c r="N311" s="30"/>
      <c r="O311" s="21"/>
      <c r="P311" s="21"/>
      <c r="Q311" s="29"/>
    </row>
    <row r="312" ht="15.75" customHeight="1">
      <c r="H312" s="9"/>
      <c r="K312" s="30"/>
      <c r="L312" s="30"/>
      <c r="M312" s="30"/>
      <c r="N312" s="30"/>
      <c r="O312" s="21"/>
      <c r="P312" s="21"/>
      <c r="Q312" s="29"/>
    </row>
    <row r="313" ht="15.75" customHeight="1">
      <c r="H313" s="9"/>
      <c r="K313" s="30"/>
      <c r="L313" s="30"/>
      <c r="M313" s="30"/>
      <c r="N313" s="30"/>
      <c r="O313" s="21"/>
      <c r="P313" s="21"/>
      <c r="Q313" s="29"/>
    </row>
    <row r="314" ht="15.75" customHeight="1">
      <c r="H314" s="9"/>
      <c r="K314" s="30"/>
      <c r="L314" s="30"/>
      <c r="M314" s="30"/>
      <c r="N314" s="30"/>
      <c r="O314" s="21"/>
      <c r="P314" s="21"/>
      <c r="Q314" s="29"/>
    </row>
    <row r="315" ht="15.75" customHeight="1">
      <c r="H315" s="9"/>
      <c r="K315" s="30"/>
      <c r="L315" s="30"/>
      <c r="M315" s="30"/>
      <c r="N315" s="30"/>
      <c r="O315" s="21"/>
      <c r="P315" s="21"/>
      <c r="Q315" s="29"/>
    </row>
    <row r="316" ht="15.75" customHeight="1">
      <c r="H316" s="9"/>
      <c r="K316" s="30"/>
      <c r="L316" s="30"/>
      <c r="M316" s="30"/>
      <c r="N316" s="30"/>
      <c r="O316" s="21"/>
      <c r="P316" s="21"/>
      <c r="Q316" s="29"/>
    </row>
    <row r="317" ht="15.75" customHeight="1">
      <c r="H317" s="9"/>
      <c r="K317" s="30"/>
      <c r="L317" s="30"/>
      <c r="M317" s="30"/>
      <c r="N317" s="30"/>
      <c r="O317" s="21"/>
      <c r="P317" s="21"/>
      <c r="Q317" s="29"/>
    </row>
    <row r="318" ht="15.75" customHeight="1">
      <c r="H318" s="9"/>
      <c r="K318" s="30"/>
      <c r="L318" s="30"/>
      <c r="M318" s="30"/>
      <c r="N318" s="30"/>
      <c r="O318" s="21"/>
      <c r="P318" s="21"/>
      <c r="Q318" s="29"/>
    </row>
    <row r="319" ht="15.75" customHeight="1">
      <c r="H319" s="9"/>
      <c r="K319" s="30"/>
      <c r="L319" s="30"/>
      <c r="M319" s="30"/>
      <c r="N319" s="30"/>
      <c r="O319" s="21"/>
      <c r="P319" s="21"/>
      <c r="Q319" s="29"/>
    </row>
    <row r="320" ht="15.75" customHeight="1">
      <c r="H320" s="9"/>
      <c r="K320" s="30"/>
      <c r="L320" s="30"/>
      <c r="M320" s="30"/>
      <c r="N320" s="30"/>
      <c r="O320" s="21"/>
      <c r="P320" s="21"/>
      <c r="Q320" s="29"/>
    </row>
    <row r="321" ht="15.75" customHeight="1">
      <c r="H321" s="9"/>
      <c r="K321" s="30"/>
      <c r="L321" s="30"/>
      <c r="M321" s="30"/>
      <c r="N321" s="30"/>
      <c r="O321" s="21"/>
      <c r="P321" s="21"/>
      <c r="Q321" s="29"/>
    </row>
    <row r="322" ht="15.75" customHeight="1">
      <c r="H322" s="9"/>
      <c r="K322" s="30"/>
      <c r="L322" s="30"/>
      <c r="M322" s="30"/>
      <c r="N322" s="30"/>
      <c r="O322" s="21"/>
      <c r="P322" s="21"/>
      <c r="Q322" s="29"/>
    </row>
    <row r="323" ht="15.75" customHeight="1">
      <c r="H323" s="9"/>
      <c r="K323" s="30"/>
      <c r="L323" s="30"/>
      <c r="M323" s="30"/>
      <c r="N323" s="30"/>
      <c r="O323" s="21"/>
      <c r="P323" s="21"/>
      <c r="Q323" s="29"/>
    </row>
    <row r="324" ht="15.75" customHeight="1">
      <c r="H324" s="9"/>
      <c r="K324" s="30"/>
      <c r="L324" s="30"/>
      <c r="M324" s="30"/>
      <c r="N324" s="30"/>
      <c r="O324" s="21"/>
      <c r="P324" s="21"/>
      <c r="Q324" s="29"/>
    </row>
    <row r="325" ht="15.75" customHeight="1">
      <c r="H325" s="9"/>
      <c r="K325" s="30"/>
      <c r="L325" s="30"/>
      <c r="M325" s="30"/>
      <c r="N325" s="30"/>
      <c r="O325" s="21"/>
      <c r="P325" s="21"/>
      <c r="Q325" s="29"/>
    </row>
    <row r="326" ht="15.75" customHeight="1">
      <c r="H326" s="9"/>
      <c r="K326" s="30"/>
      <c r="L326" s="30"/>
      <c r="M326" s="30"/>
      <c r="N326" s="30"/>
      <c r="O326" s="21"/>
      <c r="P326" s="21"/>
      <c r="Q326" s="29"/>
    </row>
    <row r="327" ht="15.75" customHeight="1">
      <c r="H327" s="9"/>
      <c r="K327" s="30"/>
      <c r="L327" s="30"/>
      <c r="M327" s="30"/>
      <c r="N327" s="30"/>
      <c r="O327" s="21"/>
      <c r="P327" s="21"/>
      <c r="Q327" s="29"/>
    </row>
    <row r="328" ht="15.75" customHeight="1">
      <c r="H328" s="9"/>
      <c r="K328" s="30"/>
      <c r="L328" s="30"/>
      <c r="M328" s="30"/>
      <c r="N328" s="30"/>
      <c r="O328" s="21"/>
      <c r="P328" s="21"/>
      <c r="Q328" s="29"/>
    </row>
    <row r="329" ht="15.75" customHeight="1">
      <c r="H329" s="9"/>
      <c r="K329" s="30"/>
      <c r="L329" s="30"/>
      <c r="M329" s="30"/>
      <c r="N329" s="30"/>
      <c r="O329" s="21"/>
      <c r="P329" s="21"/>
      <c r="Q329" s="29"/>
    </row>
    <row r="330" ht="15.75" customHeight="1">
      <c r="H330" s="9"/>
      <c r="K330" s="30"/>
      <c r="L330" s="30"/>
      <c r="M330" s="30"/>
      <c r="N330" s="30"/>
      <c r="O330" s="21"/>
      <c r="P330" s="21"/>
      <c r="Q330" s="29"/>
    </row>
    <row r="331" ht="15.75" customHeight="1">
      <c r="H331" s="9"/>
      <c r="K331" s="30"/>
      <c r="L331" s="30"/>
      <c r="M331" s="30"/>
      <c r="N331" s="30"/>
      <c r="O331" s="21"/>
      <c r="P331" s="21"/>
      <c r="Q331" s="29"/>
    </row>
    <row r="332" ht="15.75" customHeight="1">
      <c r="H332" s="9"/>
      <c r="K332" s="30"/>
      <c r="L332" s="30"/>
      <c r="M332" s="30"/>
      <c r="N332" s="30"/>
      <c r="O332" s="21"/>
      <c r="P332" s="21"/>
      <c r="Q332" s="29"/>
    </row>
    <row r="333" ht="15.75" customHeight="1">
      <c r="H333" s="9"/>
      <c r="K333" s="30"/>
      <c r="L333" s="30"/>
      <c r="M333" s="30"/>
      <c r="N333" s="30"/>
      <c r="O333" s="21"/>
      <c r="P333" s="21"/>
      <c r="Q333" s="29"/>
    </row>
    <row r="334" ht="15.75" customHeight="1">
      <c r="H334" s="9"/>
      <c r="K334" s="30"/>
      <c r="L334" s="30"/>
      <c r="M334" s="30"/>
      <c r="N334" s="30"/>
      <c r="O334" s="21"/>
      <c r="P334" s="21"/>
      <c r="Q334" s="29"/>
    </row>
    <row r="335" ht="15.75" customHeight="1">
      <c r="H335" s="9"/>
      <c r="K335" s="30"/>
      <c r="L335" s="30"/>
      <c r="M335" s="30"/>
      <c r="N335" s="30"/>
      <c r="O335" s="21"/>
      <c r="P335" s="21"/>
      <c r="Q335" s="29"/>
    </row>
    <row r="336" ht="15.75" customHeight="1">
      <c r="H336" s="9"/>
      <c r="K336" s="30"/>
      <c r="L336" s="30"/>
      <c r="M336" s="30"/>
      <c r="N336" s="30"/>
      <c r="O336" s="21"/>
      <c r="P336" s="21"/>
      <c r="Q336" s="29"/>
    </row>
    <row r="337" ht="15.75" customHeight="1">
      <c r="H337" s="9"/>
      <c r="K337" s="30"/>
      <c r="L337" s="30"/>
      <c r="M337" s="30"/>
      <c r="N337" s="30"/>
      <c r="O337" s="21"/>
      <c r="P337" s="21"/>
      <c r="Q337" s="29"/>
    </row>
    <row r="338" ht="15.75" customHeight="1">
      <c r="H338" s="9"/>
      <c r="K338" s="30"/>
      <c r="L338" s="30"/>
      <c r="M338" s="30"/>
      <c r="N338" s="30"/>
      <c r="O338" s="21"/>
      <c r="P338" s="21"/>
      <c r="Q338" s="29"/>
    </row>
    <row r="339" ht="15.75" customHeight="1">
      <c r="H339" s="9"/>
      <c r="K339" s="30"/>
      <c r="L339" s="30"/>
      <c r="M339" s="30"/>
      <c r="N339" s="30"/>
      <c r="O339" s="21"/>
      <c r="P339" s="21"/>
      <c r="Q339" s="29"/>
    </row>
    <row r="340" ht="15.75" customHeight="1">
      <c r="H340" s="9"/>
      <c r="K340" s="30"/>
      <c r="L340" s="30"/>
      <c r="M340" s="30"/>
      <c r="N340" s="30"/>
      <c r="O340" s="21"/>
      <c r="P340" s="21"/>
      <c r="Q340" s="29"/>
    </row>
    <row r="341" ht="15.75" customHeight="1">
      <c r="H341" s="9"/>
      <c r="K341" s="30"/>
      <c r="L341" s="30"/>
      <c r="M341" s="30"/>
      <c r="N341" s="30"/>
      <c r="O341" s="21"/>
      <c r="P341" s="21"/>
      <c r="Q341" s="29"/>
    </row>
    <row r="342" ht="15.75" customHeight="1">
      <c r="H342" s="9"/>
      <c r="K342" s="30"/>
      <c r="L342" s="30"/>
      <c r="M342" s="30"/>
      <c r="N342" s="30"/>
      <c r="O342" s="21"/>
      <c r="P342" s="21"/>
      <c r="Q342" s="29"/>
    </row>
    <row r="343" ht="15.75" customHeight="1">
      <c r="H343" s="9"/>
      <c r="K343" s="30"/>
      <c r="L343" s="30"/>
      <c r="M343" s="30"/>
      <c r="N343" s="30"/>
      <c r="O343" s="21"/>
      <c r="P343" s="21"/>
      <c r="Q343" s="29"/>
    </row>
    <row r="344" ht="15.75" customHeight="1">
      <c r="H344" s="9"/>
      <c r="K344" s="30"/>
      <c r="L344" s="30"/>
      <c r="M344" s="30"/>
      <c r="N344" s="30"/>
      <c r="O344" s="21"/>
      <c r="P344" s="21"/>
      <c r="Q344" s="29"/>
    </row>
    <row r="345" ht="15.75" customHeight="1">
      <c r="H345" s="9"/>
      <c r="K345" s="30"/>
      <c r="L345" s="30"/>
      <c r="M345" s="30"/>
      <c r="N345" s="30"/>
      <c r="O345" s="21"/>
      <c r="P345" s="21"/>
      <c r="Q345" s="29"/>
    </row>
    <row r="346" ht="15.75" customHeight="1">
      <c r="H346" s="9"/>
      <c r="K346" s="30"/>
      <c r="L346" s="30"/>
      <c r="M346" s="30"/>
      <c r="N346" s="30"/>
      <c r="O346" s="21"/>
      <c r="P346" s="21"/>
      <c r="Q346" s="29"/>
    </row>
    <row r="347" ht="15.75" customHeight="1">
      <c r="H347" s="9"/>
      <c r="K347" s="30"/>
      <c r="L347" s="30"/>
      <c r="M347" s="30"/>
      <c r="N347" s="30"/>
      <c r="O347" s="21"/>
      <c r="P347" s="21"/>
      <c r="Q347" s="29"/>
    </row>
    <row r="348" ht="15.75" customHeight="1">
      <c r="H348" s="9"/>
      <c r="K348" s="30"/>
      <c r="L348" s="30"/>
      <c r="M348" s="30"/>
      <c r="N348" s="30"/>
      <c r="O348" s="21"/>
      <c r="P348" s="21"/>
      <c r="Q348" s="29"/>
    </row>
    <row r="349" ht="15.75" customHeight="1">
      <c r="H349" s="9"/>
      <c r="K349" s="30"/>
      <c r="L349" s="30"/>
      <c r="M349" s="30"/>
      <c r="N349" s="30"/>
      <c r="O349" s="21"/>
      <c r="P349" s="21"/>
      <c r="Q349" s="29"/>
    </row>
    <row r="350" ht="15.75" customHeight="1">
      <c r="H350" s="9"/>
      <c r="K350" s="30"/>
      <c r="L350" s="30"/>
      <c r="M350" s="30"/>
      <c r="N350" s="30"/>
      <c r="O350" s="21"/>
      <c r="P350" s="21"/>
      <c r="Q350" s="29"/>
    </row>
    <row r="351" ht="15.75" customHeight="1">
      <c r="H351" s="9"/>
      <c r="K351" s="30"/>
      <c r="L351" s="30"/>
      <c r="M351" s="30"/>
      <c r="N351" s="30"/>
      <c r="O351" s="21"/>
      <c r="P351" s="21"/>
      <c r="Q351" s="29"/>
    </row>
    <row r="352" ht="15.75" customHeight="1">
      <c r="H352" s="9"/>
      <c r="K352" s="30"/>
      <c r="L352" s="30"/>
      <c r="M352" s="30"/>
      <c r="N352" s="30"/>
      <c r="O352" s="21"/>
      <c r="P352" s="21"/>
      <c r="Q352" s="29"/>
    </row>
    <row r="353" ht="15.75" customHeight="1">
      <c r="H353" s="9"/>
      <c r="K353" s="30"/>
      <c r="L353" s="30"/>
      <c r="M353" s="30"/>
      <c r="N353" s="30"/>
      <c r="O353" s="21"/>
      <c r="P353" s="21"/>
      <c r="Q353" s="29"/>
    </row>
    <row r="354" ht="15.75" customHeight="1">
      <c r="H354" s="9"/>
      <c r="K354" s="30"/>
      <c r="L354" s="30"/>
      <c r="M354" s="30"/>
      <c r="N354" s="30"/>
      <c r="O354" s="21"/>
      <c r="P354" s="21"/>
      <c r="Q354" s="29"/>
    </row>
    <row r="355" ht="15.75" customHeight="1">
      <c r="H355" s="9"/>
      <c r="K355" s="30"/>
      <c r="L355" s="30"/>
      <c r="M355" s="30"/>
      <c r="N355" s="30"/>
      <c r="O355" s="21"/>
      <c r="P355" s="21"/>
      <c r="Q355" s="29"/>
    </row>
    <row r="356" ht="15.75" customHeight="1">
      <c r="H356" s="9"/>
      <c r="K356" s="30"/>
      <c r="L356" s="30"/>
      <c r="M356" s="30"/>
      <c r="N356" s="30"/>
      <c r="O356" s="21"/>
      <c r="P356" s="21"/>
      <c r="Q356" s="29"/>
    </row>
    <row r="357" ht="15.75" customHeight="1">
      <c r="H357" s="9"/>
      <c r="K357" s="30"/>
      <c r="L357" s="30"/>
      <c r="M357" s="30"/>
      <c r="N357" s="30"/>
      <c r="O357" s="21"/>
      <c r="P357" s="21"/>
      <c r="Q357" s="29"/>
    </row>
    <row r="358" ht="15.75" customHeight="1">
      <c r="H358" s="9"/>
      <c r="K358" s="30"/>
      <c r="L358" s="30"/>
      <c r="M358" s="30"/>
      <c r="N358" s="30"/>
      <c r="O358" s="21"/>
      <c r="P358" s="21"/>
      <c r="Q358" s="29"/>
    </row>
    <row r="359" ht="15.75" customHeight="1">
      <c r="H359" s="9"/>
      <c r="K359" s="30"/>
      <c r="L359" s="30"/>
      <c r="M359" s="30"/>
      <c r="N359" s="30"/>
      <c r="O359" s="21"/>
      <c r="P359" s="21"/>
      <c r="Q359" s="29"/>
    </row>
    <row r="360" ht="15.75" customHeight="1">
      <c r="H360" s="9"/>
      <c r="K360" s="30"/>
      <c r="L360" s="30"/>
      <c r="M360" s="30"/>
      <c r="N360" s="30"/>
      <c r="O360" s="21"/>
      <c r="P360" s="21"/>
      <c r="Q360" s="29"/>
    </row>
    <row r="361" ht="15.75" customHeight="1">
      <c r="H361" s="9"/>
      <c r="K361" s="30"/>
      <c r="L361" s="30"/>
      <c r="M361" s="30"/>
      <c r="N361" s="30"/>
      <c r="O361" s="21"/>
      <c r="P361" s="21"/>
      <c r="Q361" s="29"/>
    </row>
    <row r="362" ht="15.75" customHeight="1">
      <c r="H362" s="9"/>
      <c r="K362" s="30"/>
      <c r="L362" s="30"/>
      <c r="M362" s="30"/>
      <c r="N362" s="30"/>
      <c r="O362" s="21"/>
      <c r="P362" s="21"/>
      <c r="Q362" s="29"/>
    </row>
    <row r="363" ht="15.75" customHeight="1">
      <c r="H363" s="9"/>
      <c r="K363" s="30"/>
      <c r="L363" s="30"/>
      <c r="M363" s="30"/>
      <c r="N363" s="30"/>
      <c r="O363" s="21"/>
      <c r="P363" s="21"/>
      <c r="Q363" s="29"/>
    </row>
    <row r="364" ht="15.75" customHeight="1">
      <c r="H364" s="9"/>
      <c r="K364" s="30"/>
      <c r="L364" s="30"/>
      <c r="M364" s="30"/>
      <c r="N364" s="30"/>
      <c r="O364" s="21"/>
      <c r="P364" s="21"/>
      <c r="Q364" s="29"/>
    </row>
    <row r="365" ht="15.75" customHeight="1">
      <c r="H365" s="9"/>
      <c r="K365" s="30"/>
      <c r="L365" s="30"/>
      <c r="M365" s="30"/>
      <c r="N365" s="30"/>
      <c r="O365" s="21"/>
      <c r="P365" s="21"/>
      <c r="Q365" s="29"/>
    </row>
    <row r="366" ht="15.75" customHeight="1">
      <c r="H366" s="9"/>
      <c r="K366" s="30"/>
      <c r="L366" s="30"/>
      <c r="M366" s="30"/>
      <c r="N366" s="30"/>
      <c r="O366" s="21"/>
      <c r="P366" s="21"/>
      <c r="Q366" s="29"/>
    </row>
    <row r="367" ht="15.75" customHeight="1">
      <c r="H367" s="9"/>
      <c r="K367" s="30"/>
      <c r="L367" s="30"/>
      <c r="M367" s="30"/>
      <c r="N367" s="30"/>
      <c r="O367" s="21"/>
      <c r="P367" s="21"/>
      <c r="Q367" s="29"/>
    </row>
    <row r="368" ht="15.75" customHeight="1">
      <c r="H368" s="9"/>
      <c r="K368" s="30"/>
      <c r="L368" s="30"/>
      <c r="M368" s="30"/>
      <c r="N368" s="30"/>
      <c r="O368" s="21"/>
      <c r="P368" s="21"/>
      <c r="Q368" s="29"/>
    </row>
    <row r="369" ht="15.75" customHeight="1">
      <c r="H369" s="9"/>
      <c r="K369" s="30"/>
      <c r="L369" s="30"/>
      <c r="M369" s="30"/>
      <c r="N369" s="30"/>
      <c r="O369" s="21"/>
      <c r="P369" s="21"/>
      <c r="Q369" s="29"/>
    </row>
    <row r="370" ht="15.75" customHeight="1">
      <c r="H370" s="9"/>
      <c r="K370" s="30"/>
      <c r="L370" s="30"/>
      <c r="M370" s="30"/>
      <c r="N370" s="30"/>
      <c r="O370" s="21"/>
      <c r="P370" s="21"/>
      <c r="Q370" s="29"/>
    </row>
    <row r="371" ht="15.75" customHeight="1">
      <c r="H371" s="9"/>
      <c r="K371" s="30"/>
      <c r="L371" s="30"/>
      <c r="M371" s="30"/>
      <c r="N371" s="30"/>
      <c r="O371" s="21"/>
      <c r="P371" s="21"/>
      <c r="Q371" s="29"/>
    </row>
    <row r="372" ht="15.75" customHeight="1">
      <c r="H372" s="9"/>
      <c r="K372" s="30"/>
      <c r="L372" s="30"/>
      <c r="M372" s="30"/>
      <c r="N372" s="30"/>
      <c r="O372" s="21"/>
      <c r="P372" s="21"/>
      <c r="Q372" s="29"/>
    </row>
    <row r="373" ht="15.75" customHeight="1">
      <c r="H373" s="9"/>
      <c r="K373" s="30"/>
      <c r="L373" s="30"/>
      <c r="M373" s="30"/>
      <c r="N373" s="30"/>
      <c r="O373" s="21"/>
      <c r="P373" s="21"/>
      <c r="Q373" s="29"/>
    </row>
    <row r="374" ht="15.75" customHeight="1">
      <c r="H374" s="9"/>
      <c r="K374" s="30"/>
      <c r="L374" s="30"/>
      <c r="M374" s="30"/>
      <c r="N374" s="30"/>
      <c r="O374" s="21"/>
      <c r="P374" s="21"/>
      <c r="Q374" s="29"/>
    </row>
    <row r="375" ht="15.75" customHeight="1">
      <c r="H375" s="9"/>
      <c r="K375" s="30"/>
      <c r="L375" s="30"/>
      <c r="M375" s="30"/>
      <c r="N375" s="30"/>
      <c r="O375" s="21"/>
      <c r="P375" s="21"/>
      <c r="Q375" s="29"/>
    </row>
    <row r="376" ht="15.75" customHeight="1">
      <c r="H376" s="9"/>
      <c r="K376" s="30"/>
      <c r="L376" s="30"/>
      <c r="M376" s="30"/>
      <c r="N376" s="30"/>
      <c r="O376" s="21"/>
      <c r="P376" s="21"/>
      <c r="Q376" s="29"/>
    </row>
    <row r="377" ht="15.75" customHeight="1">
      <c r="H377" s="9"/>
      <c r="K377" s="30"/>
      <c r="L377" s="30"/>
      <c r="M377" s="30"/>
      <c r="N377" s="30"/>
      <c r="O377" s="21"/>
      <c r="P377" s="21"/>
      <c r="Q377" s="29"/>
    </row>
    <row r="378" ht="15.75" customHeight="1">
      <c r="H378" s="9"/>
      <c r="K378" s="30"/>
      <c r="L378" s="30"/>
      <c r="M378" s="30"/>
      <c r="N378" s="30"/>
      <c r="O378" s="21"/>
      <c r="P378" s="21"/>
      <c r="Q378" s="29"/>
    </row>
    <row r="379" ht="15.75" customHeight="1">
      <c r="H379" s="9"/>
      <c r="K379" s="30"/>
      <c r="L379" s="30"/>
      <c r="M379" s="30"/>
      <c r="N379" s="30"/>
      <c r="O379" s="21"/>
      <c r="P379" s="21"/>
      <c r="Q379" s="29"/>
    </row>
    <row r="380" ht="15.75" customHeight="1">
      <c r="H380" s="9"/>
      <c r="K380" s="30"/>
      <c r="L380" s="30"/>
      <c r="M380" s="30"/>
      <c r="N380" s="30"/>
      <c r="O380" s="21"/>
      <c r="P380" s="21"/>
      <c r="Q380" s="29"/>
    </row>
    <row r="381" ht="15.75" customHeight="1">
      <c r="H381" s="9"/>
      <c r="K381" s="30"/>
      <c r="L381" s="30"/>
      <c r="M381" s="30"/>
      <c r="N381" s="30"/>
      <c r="O381" s="21"/>
      <c r="P381" s="21"/>
      <c r="Q381" s="29"/>
    </row>
    <row r="382" ht="15.75" customHeight="1">
      <c r="H382" s="9"/>
      <c r="K382" s="30"/>
      <c r="L382" s="30"/>
      <c r="M382" s="30"/>
      <c r="N382" s="30"/>
      <c r="O382" s="21"/>
      <c r="P382" s="21"/>
      <c r="Q382" s="29"/>
    </row>
    <row r="383" ht="15.75" customHeight="1">
      <c r="H383" s="9"/>
      <c r="K383" s="30"/>
      <c r="L383" s="30"/>
      <c r="M383" s="30"/>
      <c r="N383" s="30"/>
      <c r="O383" s="21"/>
      <c r="P383" s="21"/>
      <c r="Q383" s="29"/>
    </row>
    <row r="384" ht="15.75" customHeight="1">
      <c r="H384" s="9"/>
      <c r="K384" s="30"/>
      <c r="L384" s="30"/>
      <c r="M384" s="30"/>
      <c r="N384" s="30"/>
      <c r="O384" s="21"/>
      <c r="P384" s="21"/>
      <c r="Q384" s="29"/>
    </row>
    <row r="385" ht="15.75" customHeight="1">
      <c r="H385" s="9"/>
      <c r="K385" s="30"/>
      <c r="L385" s="30"/>
      <c r="M385" s="30"/>
      <c r="N385" s="30"/>
      <c r="O385" s="21"/>
      <c r="P385" s="21"/>
      <c r="Q385" s="29"/>
    </row>
    <row r="386" ht="15.75" customHeight="1">
      <c r="H386" s="9"/>
      <c r="K386" s="30"/>
      <c r="L386" s="30"/>
      <c r="M386" s="30"/>
      <c r="N386" s="30"/>
      <c r="O386" s="21"/>
      <c r="P386" s="21"/>
      <c r="Q386" s="29"/>
    </row>
    <row r="387" ht="15.75" customHeight="1">
      <c r="H387" s="9"/>
      <c r="K387" s="30"/>
      <c r="L387" s="30"/>
      <c r="M387" s="30"/>
      <c r="N387" s="30"/>
      <c r="O387" s="21"/>
      <c r="P387" s="21"/>
      <c r="Q387" s="29"/>
    </row>
    <row r="388" ht="15.75" customHeight="1">
      <c r="H388" s="9"/>
      <c r="K388" s="30"/>
      <c r="L388" s="30"/>
      <c r="M388" s="30"/>
      <c r="N388" s="30"/>
      <c r="O388" s="21"/>
      <c r="P388" s="21"/>
      <c r="Q388" s="29"/>
    </row>
    <row r="389" ht="15.75" customHeight="1">
      <c r="H389" s="9"/>
      <c r="K389" s="30"/>
      <c r="L389" s="30"/>
      <c r="M389" s="30"/>
      <c r="N389" s="30"/>
      <c r="O389" s="21"/>
      <c r="P389" s="21"/>
      <c r="Q389" s="29"/>
    </row>
    <row r="390" ht="15.75" customHeight="1">
      <c r="H390" s="9"/>
      <c r="K390" s="30"/>
      <c r="L390" s="30"/>
      <c r="M390" s="30"/>
      <c r="N390" s="30"/>
      <c r="O390" s="21"/>
      <c r="P390" s="21"/>
      <c r="Q390" s="29"/>
    </row>
    <row r="391" ht="15.75" customHeight="1">
      <c r="H391" s="9"/>
      <c r="K391" s="30"/>
      <c r="L391" s="30"/>
      <c r="M391" s="30"/>
      <c r="N391" s="30"/>
      <c r="O391" s="21"/>
      <c r="P391" s="21"/>
      <c r="Q391" s="29"/>
    </row>
    <row r="392" ht="15.75" customHeight="1">
      <c r="H392" s="9"/>
      <c r="K392" s="30"/>
      <c r="L392" s="30"/>
      <c r="M392" s="30"/>
      <c r="N392" s="30"/>
      <c r="O392" s="21"/>
      <c r="P392" s="21"/>
      <c r="Q392" s="29"/>
    </row>
    <row r="393" ht="15.75" customHeight="1">
      <c r="H393" s="9"/>
      <c r="K393" s="30"/>
      <c r="L393" s="30"/>
      <c r="M393" s="30"/>
      <c r="N393" s="30"/>
      <c r="O393" s="21"/>
      <c r="P393" s="21"/>
      <c r="Q393" s="29"/>
    </row>
    <row r="394" ht="15.75" customHeight="1">
      <c r="H394" s="9"/>
      <c r="K394" s="30"/>
      <c r="L394" s="30"/>
      <c r="M394" s="30"/>
      <c r="N394" s="30"/>
      <c r="O394" s="21"/>
      <c r="P394" s="21"/>
      <c r="Q394" s="29"/>
    </row>
    <row r="395" ht="15.75" customHeight="1">
      <c r="H395" s="9"/>
      <c r="K395" s="30"/>
      <c r="L395" s="30"/>
      <c r="M395" s="30"/>
      <c r="N395" s="30"/>
      <c r="O395" s="21"/>
      <c r="P395" s="21"/>
      <c r="Q395" s="29"/>
    </row>
    <row r="396" ht="15.75" customHeight="1">
      <c r="H396" s="9"/>
      <c r="K396" s="30"/>
      <c r="L396" s="30"/>
      <c r="M396" s="30"/>
      <c r="N396" s="30"/>
      <c r="O396" s="21"/>
      <c r="P396" s="21"/>
      <c r="Q396" s="29"/>
    </row>
    <row r="397" ht="15.75" customHeight="1">
      <c r="H397" s="9"/>
      <c r="K397" s="30"/>
      <c r="L397" s="30"/>
      <c r="M397" s="30"/>
      <c r="N397" s="30"/>
      <c r="O397" s="21"/>
      <c r="P397" s="21"/>
      <c r="Q397" s="29"/>
    </row>
    <row r="398" ht="15.75" customHeight="1">
      <c r="H398" s="9"/>
      <c r="K398" s="30"/>
      <c r="L398" s="30"/>
      <c r="M398" s="30"/>
      <c r="N398" s="30"/>
      <c r="O398" s="21"/>
      <c r="P398" s="21"/>
      <c r="Q398" s="29"/>
    </row>
    <row r="399" ht="15.75" customHeight="1">
      <c r="H399" s="9"/>
      <c r="K399" s="30"/>
      <c r="L399" s="30"/>
      <c r="M399" s="30"/>
      <c r="N399" s="30"/>
      <c r="O399" s="21"/>
      <c r="P399" s="21"/>
      <c r="Q399" s="29"/>
    </row>
    <row r="400" ht="15.75" customHeight="1">
      <c r="H400" s="9"/>
      <c r="K400" s="30"/>
      <c r="L400" s="30"/>
      <c r="M400" s="30"/>
      <c r="N400" s="30"/>
      <c r="O400" s="21"/>
      <c r="P400" s="21"/>
      <c r="Q400" s="29"/>
    </row>
    <row r="401" ht="15.75" customHeight="1">
      <c r="H401" s="9"/>
      <c r="K401" s="30"/>
      <c r="L401" s="30"/>
      <c r="M401" s="30"/>
      <c r="N401" s="30"/>
      <c r="O401" s="21"/>
      <c r="P401" s="21"/>
      <c r="Q401" s="29"/>
    </row>
    <row r="402" ht="15.75" customHeight="1">
      <c r="H402" s="9"/>
      <c r="K402" s="30"/>
      <c r="L402" s="30"/>
      <c r="M402" s="30"/>
      <c r="N402" s="30"/>
      <c r="O402" s="21"/>
      <c r="P402" s="21"/>
      <c r="Q402" s="29"/>
    </row>
    <row r="403" ht="15.75" customHeight="1">
      <c r="H403" s="9"/>
      <c r="K403" s="30"/>
      <c r="L403" s="30"/>
      <c r="M403" s="30"/>
      <c r="N403" s="30"/>
      <c r="O403" s="21"/>
      <c r="P403" s="21"/>
      <c r="Q403" s="29"/>
    </row>
    <row r="404" ht="15.75" customHeight="1">
      <c r="H404" s="9"/>
      <c r="K404" s="30"/>
      <c r="L404" s="30"/>
      <c r="M404" s="30"/>
      <c r="N404" s="30"/>
      <c r="O404" s="21"/>
      <c r="P404" s="21"/>
      <c r="Q404" s="29"/>
    </row>
    <row r="405" ht="15.75" customHeight="1">
      <c r="H405" s="9"/>
      <c r="K405" s="30"/>
      <c r="L405" s="30"/>
      <c r="M405" s="30"/>
      <c r="N405" s="30"/>
      <c r="O405" s="21"/>
      <c r="P405" s="21"/>
      <c r="Q405" s="29"/>
    </row>
    <row r="406" ht="15.75" customHeight="1">
      <c r="H406" s="9"/>
      <c r="K406" s="30"/>
      <c r="L406" s="30"/>
      <c r="M406" s="30"/>
      <c r="N406" s="30"/>
      <c r="O406" s="21"/>
      <c r="P406" s="21"/>
      <c r="Q406" s="29"/>
    </row>
    <row r="407" ht="15.75" customHeight="1">
      <c r="H407" s="9"/>
      <c r="K407" s="30"/>
      <c r="L407" s="30"/>
      <c r="M407" s="30"/>
      <c r="N407" s="30"/>
      <c r="O407" s="21"/>
      <c r="P407" s="21"/>
      <c r="Q407" s="29"/>
    </row>
    <row r="408" ht="15.75" customHeight="1">
      <c r="H408" s="9"/>
      <c r="K408" s="30"/>
      <c r="L408" s="30"/>
      <c r="M408" s="30"/>
      <c r="N408" s="30"/>
      <c r="O408" s="21"/>
      <c r="P408" s="21"/>
      <c r="Q408" s="29"/>
    </row>
    <row r="409" ht="15.75" customHeight="1">
      <c r="H409" s="9"/>
      <c r="K409" s="30"/>
      <c r="L409" s="30"/>
      <c r="M409" s="30"/>
      <c r="N409" s="30"/>
      <c r="O409" s="21"/>
      <c r="P409" s="21"/>
      <c r="Q409" s="29"/>
    </row>
    <row r="410" ht="15.75" customHeight="1">
      <c r="H410" s="9"/>
      <c r="K410" s="30"/>
      <c r="L410" s="30"/>
      <c r="M410" s="30"/>
      <c r="N410" s="30"/>
      <c r="O410" s="21"/>
      <c r="P410" s="21"/>
      <c r="Q410" s="29"/>
    </row>
    <row r="411" ht="15.75" customHeight="1">
      <c r="H411" s="9"/>
      <c r="K411" s="30"/>
      <c r="L411" s="30"/>
      <c r="M411" s="30"/>
      <c r="N411" s="30"/>
      <c r="O411" s="21"/>
      <c r="P411" s="21"/>
      <c r="Q411" s="29"/>
    </row>
    <row r="412" ht="15.75" customHeight="1">
      <c r="H412" s="9"/>
      <c r="K412" s="30"/>
      <c r="L412" s="30"/>
      <c r="M412" s="30"/>
      <c r="N412" s="30"/>
      <c r="O412" s="21"/>
      <c r="P412" s="21"/>
      <c r="Q412" s="29"/>
    </row>
    <row r="413" ht="15.75" customHeight="1">
      <c r="H413" s="9"/>
      <c r="K413" s="30"/>
      <c r="L413" s="30"/>
      <c r="M413" s="30"/>
      <c r="N413" s="30"/>
      <c r="O413" s="21"/>
      <c r="P413" s="21"/>
      <c r="Q413" s="29"/>
    </row>
    <row r="414" ht="15.75" customHeight="1">
      <c r="H414" s="9"/>
      <c r="K414" s="30"/>
      <c r="L414" s="30"/>
      <c r="M414" s="30"/>
      <c r="N414" s="30"/>
      <c r="O414" s="21"/>
      <c r="P414" s="21"/>
      <c r="Q414" s="29"/>
    </row>
    <row r="415" ht="15.75" customHeight="1">
      <c r="H415" s="9"/>
      <c r="K415" s="30"/>
      <c r="L415" s="30"/>
      <c r="M415" s="30"/>
      <c r="N415" s="30"/>
      <c r="O415" s="21"/>
      <c r="P415" s="21"/>
      <c r="Q415" s="29"/>
    </row>
    <row r="416" ht="15.75" customHeight="1">
      <c r="H416" s="9"/>
      <c r="K416" s="30"/>
      <c r="L416" s="30"/>
      <c r="M416" s="30"/>
      <c r="N416" s="30"/>
      <c r="O416" s="21"/>
      <c r="P416" s="21"/>
      <c r="Q416" s="29"/>
    </row>
    <row r="417" ht="15.75" customHeight="1">
      <c r="H417" s="9"/>
      <c r="K417" s="30"/>
      <c r="L417" s="30"/>
      <c r="M417" s="30"/>
      <c r="N417" s="30"/>
      <c r="O417" s="21"/>
      <c r="P417" s="21"/>
      <c r="Q417" s="29"/>
    </row>
    <row r="418" ht="15.75" customHeight="1">
      <c r="H418" s="9"/>
      <c r="K418" s="30"/>
      <c r="L418" s="30"/>
      <c r="M418" s="30"/>
      <c r="N418" s="30"/>
      <c r="O418" s="21"/>
      <c r="P418" s="21"/>
      <c r="Q418" s="29"/>
    </row>
    <row r="419" ht="15.75" customHeight="1">
      <c r="H419" s="9"/>
      <c r="K419" s="30"/>
      <c r="L419" s="30"/>
      <c r="M419" s="30"/>
      <c r="N419" s="30"/>
      <c r="O419" s="21"/>
      <c r="P419" s="21"/>
      <c r="Q419" s="29"/>
    </row>
    <row r="420" ht="15.75" customHeight="1">
      <c r="H420" s="9"/>
      <c r="K420" s="30"/>
      <c r="L420" s="30"/>
      <c r="M420" s="30"/>
      <c r="N420" s="30"/>
      <c r="O420" s="21"/>
      <c r="P420" s="21"/>
      <c r="Q420" s="29"/>
    </row>
    <row r="421" ht="15.75" customHeight="1">
      <c r="H421" s="9"/>
      <c r="K421" s="30"/>
      <c r="L421" s="30"/>
      <c r="M421" s="30"/>
      <c r="N421" s="30"/>
      <c r="O421" s="21"/>
      <c r="P421" s="21"/>
      <c r="Q421" s="29"/>
    </row>
    <row r="422" ht="15.75" customHeight="1">
      <c r="H422" s="9"/>
      <c r="K422" s="30"/>
      <c r="L422" s="30"/>
      <c r="M422" s="30"/>
      <c r="N422" s="30"/>
      <c r="O422" s="21"/>
      <c r="P422" s="21"/>
      <c r="Q422" s="29"/>
    </row>
    <row r="423" ht="15.75" customHeight="1">
      <c r="H423" s="9"/>
      <c r="K423" s="30"/>
      <c r="L423" s="30"/>
      <c r="M423" s="30"/>
      <c r="N423" s="30"/>
      <c r="O423" s="21"/>
      <c r="P423" s="21"/>
      <c r="Q423" s="29"/>
    </row>
    <row r="424" ht="15.75" customHeight="1">
      <c r="H424" s="9"/>
      <c r="K424" s="30"/>
      <c r="L424" s="30"/>
      <c r="M424" s="30"/>
      <c r="N424" s="30"/>
      <c r="O424" s="21"/>
      <c r="P424" s="21"/>
      <c r="Q424" s="29"/>
    </row>
    <row r="425" ht="15.75" customHeight="1">
      <c r="H425" s="9"/>
      <c r="K425" s="30"/>
      <c r="L425" s="30"/>
      <c r="M425" s="30"/>
      <c r="N425" s="30"/>
      <c r="O425" s="21"/>
      <c r="P425" s="21"/>
      <c r="Q425" s="29"/>
    </row>
    <row r="426" ht="15.75" customHeight="1">
      <c r="H426" s="9"/>
      <c r="K426" s="30"/>
      <c r="L426" s="30"/>
      <c r="M426" s="30"/>
      <c r="N426" s="30"/>
      <c r="O426" s="21"/>
      <c r="P426" s="21"/>
      <c r="Q426" s="29"/>
    </row>
    <row r="427" ht="15.75" customHeight="1">
      <c r="H427" s="9"/>
      <c r="K427" s="30"/>
      <c r="L427" s="30"/>
      <c r="M427" s="30"/>
      <c r="N427" s="30"/>
      <c r="O427" s="21"/>
      <c r="P427" s="21"/>
      <c r="Q427" s="29"/>
    </row>
    <row r="428" ht="15.75" customHeight="1">
      <c r="H428" s="9"/>
      <c r="K428" s="30"/>
      <c r="L428" s="30"/>
      <c r="M428" s="30"/>
      <c r="N428" s="30"/>
      <c r="O428" s="21"/>
      <c r="P428" s="21"/>
      <c r="Q428" s="29"/>
    </row>
    <row r="429" ht="15.75" customHeight="1">
      <c r="H429" s="9"/>
      <c r="K429" s="30"/>
      <c r="L429" s="30"/>
      <c r="M429" s="30"/>
      <c r="N429" s="30"/>
      <c r="O429" s="21"/>
      <c r="P429" s="21"/>
      <c r="Q429" s="29"/>
    </row>
    <row r="430" ht="15.75" customHeight="1">
      <c r="H430" s="9"/>
      <c r="K430" s="30"/>
      <c r="L430" s="30"/>
      <c r="M430" s="30"/>
      <c r="N430" s="30"/>
      <c r="O430" s="21"/>
      <c r="P430" s="21"/>
      <c r="Q430" s="29"/>
    </row>
    <row r="431" ht="15.75" customHeight="1">
      <c r="H431" s="9"/>
      <c r="K431" s="30"/>
      <c r="L431" s="30"/>
      <c r="M431" s="30"/>
      <c r="N431" s="30"/>
      <c r="O431" s="21"/>
      <c r="P431" s="21"/>
      <c r="Q431" s="29"/>
    </row>
    <row r="432" ht="15.75" customHeight="1">
      <c r="H432" s="9"/>
      <c r="K432" s="30"/>
      <c r="L432" s="30"/>
      <c r="M432" s="30"/>
      <c r="N432" s="30"/>
      <c r="O432" s="21"/>
      <c r="P432" s="21"/>
      <c r="Q432" s="29"/>
    </row>
    <row r="433" ht="15.75" customHeight="1">
      <c r="H433" s="9"/>
      <c r="K433" s="30"/>
      <c r="L433" s="30"/>
      <c r="M433" s="30"/>
      <c r="N433" s="30"/>
      <c r="O433" s="21"/>
      <c r="P433" s="21"/>
      <c r="Q433" s="29"/>
    </row>
    <row r="434" ht="15.75" customHeight="1">
      <c r="H434" s="9"/>
      <c r="K434" s="30"/>
      <c r="L434" s="30"/>
      <c r="M434" s="30"/>
      <c r="N434" s="30"/>
      <c r="O434" s="21"/>
      <c r="P434" s="21"/>
      <c r="Q434" s="29"/>
    </row>
    <row r="435" ht="15.75" customHeight="1">
      <c r="H435" s="9"/>
      <c r="K435" s="30"/>
      <c r="L435" s="30"/>
      <c r="M435" s="30"/>
      <c r="N435" s="30"/>
      <c r="O435" s="21"/>
      <c r="P435" s="21"/>
      <c r="Q435" s="29"/>
    </row>
    <row r="436" ht="15.75" customHeight="1">
      <c r="H436" s="9"/>
      <c r="K436" s="30"/>
      <c r="L436" s="30"/>
      <c r="M436" s="30"/>
      <c r="N436" s="30"/>
      <c r="O436" s="21"/>
      <c r="P436" s="21"/>
      <c r="Q436" s="29"/>
    </row>
    <row r="437" ht="15.75" customHeight="1">
      <c r="H437" s="9"/>
      <c r="K437" s="30"/>
      <c r="L437" s="30"/>
      <c r="M437" s="30"/>
      <c r="N437" s="30"/>
      <c r="O437" s="21"/>
      <c r="P437" s="21"/>
      <c r="Q437" s="29"/>
    </row>
    <row r="438" ht="15.75" customHeight="1">
      <c r="H438" s="9"/>
      <c r="K438" s="30"/>
      <c r="L438" s="30"/>
      <c r="M438" s="30"/>
      <c r="N438" s="30"/>
      <c r="O438" s="21"/>
      <c r="P438" s="21"/>
      <c r="Q438" s="29"/>
    </row>
    <row r="439" ht="15.75" customHeight="1">
      <c r="H439" s="9"/>
      <c r="K439" s="30"/>
      <c r="L439" s="30"/>
      <c r="M439" s="30"/>
      <c r="N439" s="30"/>
      <c r="O439" s="21"/>
      <c r="P439" s="21"/>
      <c r="Q439" s="29"/>
    </row>
    <row r="440" ht="15.75" customHeight="1">
      <c r="H440" s="9"/>
      <c r="K440" s="30"/>
      <c r="L440" s="30"/>
      <c r="M440" s="30"/>
      <c r="N440" s="30"/>
      <c r="O440" s="21"/>
      <c r="P440" s="21"/>
      <c r="Q440" s="29"/>
    </row>
    <row r="441" ht="15.75" customHeight="1">
      <c r="H441" s="9"/>
      <c r="K441" s="30"/>
      <c r="L441" s="30"/>
      <c r="M441" s="30"/>
      <c r="N441" s="30"/>
      <c r="O441" s="21"/>
      <c r="P441" s="21"/>
      <c r="Q441" s="29"/>
    </row>
    <row r="442" ht="15.75" customHeight="1">
      <c r="H442" s="9"/>
      <c r="K442" s="30"/>
      <c r="L442" s="30"/>
      <c r="M442" s="30"/>
      <c r="N442" s="30"/>
      <c r="O442" s="21"/>
      <c r="P442" s="21"/>
      <c r="Q442" s="29"/>
    </row>
    <row r="443" ht="15.75" customHeight="1">
      <c r="H443" s="9"/>
      <c r="K443" s="30"/>
      <c r="L443" s="30"/>
      <c r="M443" s="30"/>
      <c r="N443" s="30"/>
      <c r="O443" s="21"/>
      <c r="P443" s="21"/>
      <c r="Q443" s="29"/>
    </row>
    <row r="444" ht="15.75" customHeight="1">
      <c r="H444" s="9"/>
      <c r="K444" s="30"/>
      <c r="L444" s="30"/>
      <c r="M444" s="30"/>
      <c r="N444" s="30"/>
      <c r="O444" s="21"/>
      <c r="P444" s="21"/>
      <c r="Q444" s="29"/>
    </row>
    <row r="445" ht="15.75" customHeight="1">
      <c r="H445" s="9"/>
      <c r="K445" s="30"/>
      <c r="L445" s="30"/>
      <c r="M445" s="30"/>
      <c r="N445" s="30"/>
      <c r="O445" s="21"/>
      <c r="P445" s="21"/>
      <c r="Q445" s="29"/>
    </row>
    <row r="446" ht="15.75" customHeight="1">
      <c r="H446" s="9"/>
      <c r="K446" s="30"/>
      <c r="L446" s="30"/>
      <c r="M446" s="30"/>
      <c r="N446" s="30"/>
      <c r="O446" s="21"/>
      <c r="P446" s="21"/>
      <c r="Q446" s="29"/>
    </row>
    <row r="447" ht="15.75" customHeight="1">
      <c r="H447" s="9"/>
      <c r="K447" s="30"/>
      <c r="L447" s="30"/>
      <c r="M447" s="30"/>
      <c r="N447" s="30"/>
      <c r="O447" s="21"/>
      <c r="P447" s="21"/>
      <c r="Q447" s="29"/>
    </row>
    <row r="448" ht="15.75" customHeight="1">
      <c r="H448" s="9"/>
      <c r="K448" s="30"/>
      <c r="L448" s="30"/>
      <c r="M448" s="30"/>
      <c r="N448" s="30"/>
      <c r="O448" s="21"/>
      <c r="P448" s="21"/>
      <c r="Q448" s="29"/>
    </row>
    <row r="449" ht="15.75" customHeight="1">
      <c r="H449" s="9"/>
      <c r="K449" s="30"/>
      <c r="L449" s="30"/>
      <c r="M449" s="30"/>
      <c r="N449" s="30"/>
      <c r="O449" s="21"/>
      <c r="P449" s="21"/>
      <c r="Q449" s="29"/>
    </row>
    <row r="450" ht="15.75" customHeight="1">
      <c r="H450" s="9"/>
      <c r="K450" s="30"/>
      <c r="L450" s="30"/>
      <c r="M450" s="30"/>
      <c r="N450" s="30"/>
      <c r="O450" s="21"/>
      <c r="P450" s="21"/>
      <c r="Q450" s="29"/>
    </row>
    <row r="451" ht="15.75" customHeight="1">
      <c r="H451" s="9"/>
      <c r="K451" s="30"/>
      <c r="L451" s="30"/>
      <c r="M451" s="30"/>
      <c r="N451" s="30"/>
      <c r="O451" s="21"/>
      <c r="P451" s="21"/>
      <c r="Q451" s="29"/>
    </row>
    <row r="452" ht="15.75" customHeight="1">
      <c r="H452" s="9"/>
      <c r="K452" s="30"/>
      <c r="L452" s="30"/>
      <c r="M452" s="30"/>
      <c r="N452" s="30"/>
      <c r="O452" s="21"/>
      <c r="P452" s="21"/>
      <c r="Q452" s="29"/>
    </row>
    <row r="453" ht="15.75" customHeight="1">
      <c r="H453" s="9"/>
      <c r="K453" s="30"/>
      <c r="L453" s="30"/>
      <c r="M453" s="30"/>
      <c r="N453" s="30"/>
      <c r="O453" s="21"/>
      <c r="P453" s="21"/>
      <c r="Q453" s="29"/>
    </row>
    <row r="454" ht="15.75" customHeight="1">
      <c r="H454" s="9"/>
      <c r="K454" s="30"/>
      <c r="L454" s="30"/>
      <c r="M454" s="30"/>
      <c r="N454" s="30"/>
      <c r="O454" s="21"/>
      <c r="P454" s="21"/>
      <c r="Q454" s="29"/>
    </row>
    <row r="455" ht="15.75" customHeight="1">
      <c r="H455" s="9"/>
      <c r="K455" s="30"/>
      <c r="L455" s="30"/>
      <c r="M455" s="30"/>
      <c r="N455" s="30"/>
      <c r="O455" s="21"/>
      <c r="P455" s="21"/>
      <c r="Q455" s="29"/>
    </row>
    <row r="456" ht="15.75" customHeight="1">
      <c r="H456" s="9"/>
      <c r="K456" s="30"/>
      <c r="L456" s="30"/>
      <c r="M456" s="30"/>
      <c r="N456" s="30"/>
      <c r="O456" s="21"/>
      <c r="P456" s="21"/>
      <c r="Q456" s="29"/>
    </row>
    <row r="457" ht="15.75" customHeight="1">
      <c r="H457" s="9"/>
      <c r="K457" s="30"/>
      <c r="L457" s="30"/>
      <c r="M457" s="30"/>
      <c r="N457" s="30"/>
      <c r="O457" s="21"/>
      <c r="P457" s="21"/>
      <c r="Q457" s="29"/>
    </row>
    <row r="458" ht="15.75" customHeight="1">
      <c r="H458" s="9"/>
      <c r="K458" s="30"/>
      <c r="L458" s="30"/>
      <c r="M458" s="30"/>
      <c r="N458" s="30"/>
      <c r="O458" s="21"/>
      <c r="P458" s="21"/>
      <c r="Q458" s="29"/>
    </row>
    <row r="459" ht="15.75" customHeight="1">
      <c r="H459" s="9"/>
      <c r="K459" s="30"/>
      <c r="L459" s="30"/>
      <c r="M459" s="30"/>
      <c r="N459" s="30"/>
      <c r="O459" s="21"/>
      <c r="P459" s="21"/>
      <c r="Q459" s="29"/>
    </row>
    <row r="460" ht="15.75" customHeight="1">
      <c r="H460" s="9"/>
      <c r="K460" s="30"/>
      <c r="L460" s="30"/>
      <c r="M460" s="30"/>
      <c r="N460" s="30"/>
      <c r="O460" s="21"/>
      <c r="P460" s="21"/>
      <c r="Q460" s="29"/>
    </row>
    <row r="461" ht="15.75" customHeight="1">
      <c r="H461" s="9"/>
      <c r="K461" s="30"/>
      <c r="L461" s="30"/>
      <c r="M461" s="30"/>
      <c r="N461" s="30"/>
      <c r="O461" s="21"/>
      <c r="P461" s="21"/>
      <c r="Q461" s="29"/>
    </row>
    <row r="462" ht="15.75" customHeight="1">
      <c r="H462" s="9"/>
      <c r="K462" s="30"/>
      <c r="L462" s="30"/>
      <c r="M462" s="30"/>
      <c r="N462" s="30"/>
      <c r="O462" s="21"/>
      <c r="P462" s="21"/>
      <c r="Q462" s="29"/>
    </row>
    <row r="463" ht="15.75" customHeight="1">
      <c r="H463" s="9"/>
      <c r="K463" s="30"/>
      <c r="L463" s="30"/>
      <c r="M463" s="30"/>
      <c r="N463" s="30"/>
      <c r="O463" s="21"/>
      <c r="P463" s="21"/>
      <c r="Q463" s="29"/>
    </row>
    <row r="464" ht="15.75" customHeight="1">
      <c r="H464" s="9"/>
      <c r="K464" s="30"/>
      <c r="L464" s="30"/>
      <c r="M464" s="30"/>
      <c r="N464" s="30"/>
      <c r="O464" s="21"/>
      <c r="P464" s="21"/>
      <c r="Q464" s="29"/>
    </row>
    <row r="465" ht="15.75" customHeight="1">
      <c r="H465" s="9"/>
      <c r="K465" s="30"/>
      <c r="L465" s="30"/>
      <c r="M465" s="30"/>
      <c r="N465" s="30"/>
      <c r="O465" s="21"/>
      <c r="P465" s="21"/>
      <c r="Q465" s="29"/>
    </row>
    <row r="466" ht="15.75" customHeight="1">
      <c r="H466" s="9"/>
      <c r="K466" s="30"/>
      <c r="L466" s="30"/>
      <c r="M466" s="30"/>
      <c r="N466" s="30"/>
      <c r="O466" s="21"/>
      <c r="P466" s="21"/>
      <c r="Q466" s="29"/>
    </row>
    <row r="467" ht="15.75" customHeight="1">
      <c r="H467" s="9"/>
      <c r="K467" s="30"/>
      <c r="L467" s="30"/>
      <c r="M467" s="30"/>
      <c r="N467" s="30"/>
      <c r="O467" s="21"/>
      <c r="P467" s="21"/>
      <c r="Q467" s="29"/>
    </row>
    <row r="468" ht="15.75" customHeight="1">
      <c r="H468" s="9"/>
      <c r="K468" s="30"/>
      <c r="L468" s="30"/>
      <c r="M468" s="30"/>
      <c r="N468" s="30"/>
      <c r="O468" s="21"/>
      <c r="P468" s="21"/>
      <c r="Q468" s="29"/>
    </row>
    <row r="469" ht="15.75" customHeight="1">
      <c r="H469" s="9"/>
      <c r="K469" s="30"/>
      <c r="L469" s="30"/>
      <c r="M469" s="30"/>
      <c r="N469" s="30"/>
      <c r="O469" s="21"/>
      <c r="P469" s="21"/>
      <c r="Q469" s="29"/>
    </row>
    <row r="470" ht="15.75" customHeight="1">
      <c r="H470" s="9"/>
      <c r="K470" s="30"/>
      <c r="L470" s="30"/>
      <c r="M470" s="30"/>
      <c r="N470" s="30"/>
      <c r="O470" s="21"/>
      <c r="P470" s="21"/>
      <c r="Q470" s="29"/>
    </row>
    <row r="471" ht="15.75" customHeight="1">
      <c r="H471" s="9"/>
      <c r="K471" s="30"/>
      <c r="L471" s="30"/>
      <c r="M471" s="30"/>
      <c r="N471" s="30"/>
      <c r="O471" s="21"/>
      <c r="P471" s="21"/>
      <c r="Q471" s="29"/>
    </row>
    <row r="472" ht="15.75" customHeight="1">
      <c r="H472" s="9"/>
      <c r="K472" s="30"/>
      <c r="L472" s="30"/>
      <c r="M472" s="30"/>
      <c r="N472" s="30"/>
      <c r="O472" s="21"/>
      <c r="P472" s="21"/>
      <c r="Q472" s="29"/>
    </row>
    <row r="473" ht="15.75" customHeight="1">
      <c r="H473" s="9"/>
      <c r="K473" s="30"/>
      <c r="L473" s="30"/>
      <c r="M473" s="30"/>
      <c r="N473" s="30"/>
      <c r="O473" s="21"/>
      <c r="P473" s="21"/>
      <c r="Q473" s="29"/>
    </row>
    <row r="474" ht="15.75" customHeight="1">
      <c r="H474" s="9"/>
      <c r="K474" s="30"/>
      <c r="L474" s="30"/>
      <c r="M474" s="30"/>
      <c r="N474" s="30"/>
      <c r="O474" s="21"/>
      <c r="P474" s="21"/>
      <c r="Q474" s="29"/>
    </row>
    <row r="475" ht="15.75" customHeight="1">
      <c r="H475" s="9"/>
      <c r="K475" s="30"/>
      <c r="L475" s="30"/>
      <c r="M475" s="30"/>
      <c r="N475" s="30"/>
      <c r="O475" s="21"/>
      <c r="P475" s="21"/>
      <c r="Q475" s="29"/>
    </row>
    <row r="476" ht="15.75" customHeight="1">
      <c r="H476" s="9"/>
      <c r="K476" s="30"/>
      <c r="L476" s="30"/>
      <c r="M476" s="30"/>
      <c r="N476" s="30"/>
      <c r="O476" s="21"/>
      <c r="P476" s="21"/>
      <c r="Q476" s="29"/>
    </row>
    <row r="477" ht="15.75" customHeight="1">
      <c r="H477" s="9"/>
      <c r="K477" s="30"/>
      <c r="L477" s="30"/>
      <c r="M477" s="30"/>
      <c r="N477" s="30"/>
      <c r="O477" s="21"/>
      <c r="P477" s="21"/>
      <c r="Q477" s="29"/>
    </row>
    <row r="478" ht="15.75" customHeight="1">
      <c r="H478" s="9"/>
      <c r="K478" s="30"/>
      <c r="L478" s="30"/>
      <c r="M478" s="30"/>
      <c r="N478" s="30"/>
      <c r="O478" s="21"/>
      <c r="P478" s="21"/>
      <c r="Q478" s="29"/>
    </row>
    <row r="479" ht="15.75" customHeight="1">
      <c r="H479" s="9"/>
      <c r="K479" s="30"/>
      <c r="L479" s="30"/>
      <c r="M479" s="30"/>
      <c r="N479" s="30"/>
      <c r="O479" s="21"/>
      <c r="P479" s="21"/>
      <c r="Q479" s="29"/>
    </row>
    <row r="480" ht="15.75" customHeight="1">
      <c r="H480" s="9"/>
      <c r="K480" s="30"/>
      <c r="L480" s="30"/>
      <c r="M480" s="30"/>
      <c r="N480" s="30"/>
      <c r="O480" s="21"/>
      <c r="P480" s="21"/>
      <c r="Q480" s="29"/>
    </row>
    <row r="481" ht="15.75" customHeight="1">
      <c r="H481" s="9"/>
      <c r="K481" s="30"/>
      <c r="L481" s="30"/>
      <c r="M481" s="30"/>
      <c r="N481" s="30"/>
      <c r="O481" s="21"/>
      <c r="P481" s="21"/>
      <c r="Q481" s="29"/>
    </row>
    <row r="482" ht="15.75" customHeight="1">
      <c r="H482" s="9"/>
      <c r="K482" s="30"/>
      <c r="L482" s="30"/>
      <c r="M482" s="30"/>
      <c r="N482" s="30"/>
      <c r="O482" s="21"/>
      <c r="P482" s="21"/>
      <c r="Q482" s="29"/>
    </row>
    <row r="483" ht="15.75" customHeight="1">
      <c r="H483" s="9"/>
      <c r="K483" s="30"/>
      <c r="L483" s="30"/>
      <c r="M483" s="30"/>
      <c r="N483" s="30"/>
      <c r="O483" s="21"/>
      <c r="P483" s="21"/>
      <c r="Q483" s="29"/>
    </row>
    <row r="484" ht="15.75" customHeight="1">
      <c r="H484" s="9"/>
      <c r="K484" s="30"/>
      <c r="L484" s="30"/>
      <c r="M484" s="30"/>
      <c r="N484" s="30"/>
      <c r="O484" s="21"/>
      <c r="P484" s="21"/>
      <c r="Q484" s="29"/>
    </row>
    <row r="485" ht="15.75" customHeight="1">
      <c r="H485" s="9"/>
      <c r="K485" s="30"/>
      <c r="L485" s="30"/>
      <c r="M485" s="30"/>
      <c r="N485" s="30"/>
      <c r="O485" s="21"/>
      <c r="P485" s="21"/>
      <c r="Q485" s="29"/>
    </row>
    <row r="486" ht="15.75" customHeight="1">
      <c r="H486" s="9"/>
      <c r="K486" s="30"/>
      <c r="L486" s="30"/>
      <c r="M486" s="30"/>
      <c r="N486" s="30"/>
      <c r="O486" s="21"/>
      <c r="P486" s="21"/>
      <c r="Q486" s="29"/>
    </row>
    <row r="487" ht="15.75" customHeight="1">
      <c r="H487" s="9"/>
      <c r="K487" s="30"/>
      <c r="L487" s="30"/>
      <c r="M487" s="30"/>
      <c r="N487" s="30"/>
      <c r="O487" s="21"/>
      <c r="P487" s="21"/>
      <c r="Q487" s="29"/>
    </row>
    <row r="488" ht="15.75" customHeight="1">
      <c r="H488" s="9"/>
      <c r="K488" s="30"/>
      <c r="L488" s="30"/>
      <c r="M488" s="30"/>
      <c r="N488" s="30"/>
      <c r="O488" s="21"/>
      <c r="P488" s="21"/>
      <c r="Q488" s="29"/>
    </row>
    <row r="489" ht="15.75" customHeight="1">
      <c r="H489" s="9"/>
      <c r="K489" s="30"/>
      <c r="L489" s="30"/>
      <c r="M489" s="30"/>
      <c r="N489" s="30"/>
      <c r="O489" s="21"/>
      <c r="P489" s="21"/>
      <c r="Q489" s="29"/>
    </row>
    <row r="490" ht="15.75" customHeight="1">
      <c r="H490" s="9"/>
      <c r="K490" s="30"/>
      <c r="L490" s="30"/>
      <c r="M490" s="30"/>
      <c r="N490" s="30"/>
      <c r="O490" s="21"/>
      <c r="P490" s="21"/>
      <c r="Q490" s="29"/>
    </row>
    <row r="491" ht="15.75" customHeight="1">
      <c r="H491" s="9"/>
      <c r="K491" s="30"/>
      <c r="L491" s="30"/>
      <c r="M491" s="30"/>
      <c r="N491" s="30"/>
      <c r="O491" s="21"/>
      <c r="P491" s="21"/>
      <c r="Q491" s="29"/>
    </row>
    <row r="492" ht="15.75" customHeight="1">
      <c r="H492" s="9"/>
      <c r="K492" s="30"/>
      <c r="L492" s="30"/>
      <c r="M492" s="30"/>
      <c r="N492" s="30"/>
      <c r="O492" s="21"/>
      <c r="P492" s="21"/>
      <c r="Q492" s="29"/>
    </row>
    <row r="493" ht="15.75" customHeight="1">
      <c r="H493" s="9"/>
      <c r="K493" s="30"/>
      <c r="L493" s="30"/>
      <c r="M493" s="30"/>
      <c r="N493" s="30"/>
      <c r="O493" s="21"/>
      <c r="P493" s="21"/>
      <c r="Q493" s="29"/>
    </row>
    <row r="494" ht="15.75" customHeight="1">
      <c r="H494" s="9"/>
      <c r="K494" s="30"/>
      <c r="L494" s="30"/>
      <c r="M494" s="30"/>
      <c r="N494" s="30"/>
      <c r="O494" s="21"/>
      <c r="P494" s="21"/>
      <c r="Q494" s="29"/>
    </row>
    <row r="495" ht="15.75" customHeight="1">
      <c r="H495" s="9"/>
      <c r="K495" s="30"/>
      <c r="L495" s="30"/>
      <c r="M495" s="30"/>
      <c r="N495" s="30"/>
      <c r="O495" s="21"/>
      <c r="P495" s="21"/>
      <c r="Q495" s="29"/>
    </row>
    <row r="496" ht="15.75" customHeight="1">
      <c r="H496" s="9"/>
      <c r="K496" s="30"/>
      <c r="L496" s="30"/>
      <c r="M496" s="30"/>
      <c r="N496" s="30"/>
      <c r="O496" s="21"/>
      <c r="P496" s="21"/>
      <c r="Q496" s="29"/>
    </row>
    <row r="497" ht="15.75" customHeight="1">
      <c r="H497" s="9"/>
      <c r="K497" s="30"/>
      <c r="L497" s="30"/>
      <c r="M497" s="30"/>
      <c r="N497" s="30"/>
      <c r="O497" s="21"/>
      <c r="P497" s="21"/>
      <c r="Q497" s="29"/>
    </row>
    <row r="498" ht="15.75" customHeight="1">
      <c r="H498" s="9"/>
      <c r="K498" s="30"/>
      <c r="L498" s="30"/>
      <c r="M498" s="30"/>
      <c r="N498" s="30"/>
      <c r="O498" s="21"/>
      <c r="P498" s="21"/>
      <c r="Q498" s="29"/>
    </row>
    <row r="499" ht="15.75" customHeight="1">
      <c r="H499" s="9"/>
      <c r="K499" s="30"/>
      <c r="L499" s="30"/>
      <c r="M499" s="30"/>
      <c r="N499" s="30"/>
      <c r="O499" s="21"/>
      <c r="P499" s="21"/>
      <c r="Q499" s="29"/>
    </row>
    <row r="500" ht="15.75" customHeight="1">
      <c r="H500" s="9"/>
      <c r="K500" s="30"/>
      <c r="L500" s="30"/>
      <c r="M500" s="30"/>
      <c r="N500" s="30"/>
      <c r="O500" s="21"/>
      <c r="P500" s="21"/>
      <c r="Q500" s="29"/>
    </row>
    <row r="501" ht="15.75" customHeight="1">
      <c r="H501" s="9"/>
      <c r="K501" s="30"/>
      <c r="L501" s="30"/>
      <c r="M501" s="30"/>
      <c r="N501" s="30"/>
      <c r="O501" s="21"/>
      <c r="P501" s="21"/>
      <c r="Q501" s="29"/>
    </row>
    <row r="502" ht="15.75" customHeight="1">
      <c r="H502" s="9"/>
      <c r="K502" s="30"/>
      <c r="L502" s="30"/>
      <c r="M502" s="30"/>
      <c r="N502" s="30"/>
      <c r="O502" s="21"/>
      <c r="P502" s="21"/>
      <c r="Q502" s="29"/>
    </row>
    <row r="503" ht="15.75" customHeight="1">
      <c r="H503" s="9"/>
      <c r="K503" s="30"/>
      <c r="L503" s="30"/>
      <c r="M503" s="30"/>
      <c r="N503" s="30"/>
      <c r="O503" s="21"/>
      <c r="P503" s="21"/>
      <c r="Q503" s="29"/>
    </row>
    <row r="504" ht="15.75" customHeight="1">
      <c r="H504" s="9"/>
      <c r="K504" s="30"/>
      <c r="L504" s="30"/>
      <c r="M504" s="30"/>
      <c r="N504" s="30"/>
      <c r="O504" s="21"/>
      <c r="P504" s="21"/>
      <c r="Q504" s="29"/>
    </row>
    <row r="505" ht="15.75" customHeight="1">
      <c r="H505" s="9"/>
      <c r="K505" s="30"/>
      <c r="L505" s="30"/>
      <c r="M505" s="30"/>
      <c r="N505" s="30"/>
      <c r="O505" s="21"/>
      <c r="P505" s="21"/>
      <c r="Q505" s="29"/>
    </row>
    <row r="506" ht="15.75" customHeight="1">
      <c r="H506" s="9"/>
      <c r="K506" s="30"/>
      <c r="L506" s="30"/>
      <c r="M506" s="30"/>
      <c r="N506" s="30"/>
      <c r="O506" s="21"/>
      <c r="P506" s="21"/>
      <c r="Q506" s="29"/>
    </row>
    <row r="507" ht="15.75" customHeight="1">
      <c r="H507" s="9"/>
      <c r="K507" s="30"/>
      <c r="L507" s="30"/>
      <c r="M507" s="30"/>
      <c r="N507" s="30"/>
      <c r="O507" s="21"/>
      <c r="P507" s="21"/>
      <c r="Q507" s="29"/>
    </row>
    <row r="508" ht="15.75" customHeight="1">
      <c r="H508" s="9"/>
      <c r="K508" s="30"/>
      <c r="L508" s="30"/>
      <c r="M508" s="30"/>
      <c r="N508" s="30"/>
      <c r="O508" s="21"/>
      <c r="P508" s="21"/>
      <c r="Q508" s="29"/>
    </row>
    <row r="509" ht="15.75" customHeight="1">
      <c r="H509" s="9"/>
      <c r="K509" s="30"/>
      <c r="L509" s="30"/>
      <c r="M509" s="30"/>
      <c r="N509" s="30"/>
      <c r="O509" s="21"/>
      <c r="P509" s="21"/>
      <c r="Q509" s="29"/>
    </row>
    <row r="510" ht="15.75" customHeight="1">
      <c r="H510" s="9"/>
      <c r="K510" s="30"/>
      <c r="L510" s="30"/>
      <c r="M510" s="30"/>
      <c r="N510" s="30"/>
      <c r="O510" s="21"/>
      <c r="P510" s="21"/>
      <c r="Q510" s="29"/>
    </row>
    <row r="511" ht="15.75" customHeight="1">
      <c r="H511" s="9"/>
      <c r="K511" s="30"/>
      <c r="L511" s="30"/>
      <c r="M511" s="30"/>
      <c r="N511" s="30"/>
      <c r="O511" s="21"/>
      <c r="P511" s="21"/>
      <c r="Q511" s="29"/>
    </row>
    <row r="512" ht="15.75" customHeight="1">
      <c r="H512" s="9"/>
      <c r="K512" s="30"/>
      <c r="L512" s="30"/>
      <c r="M512" s="30"/>
      <c r="N512" s="30"/>
      <c r="O512" s="21"/>
      <c r="P512" s="21"/>
      <c r="Q512" s="29"/>
    </row>
    <row r="513" ht="15.75" customHeight="1">
      <c r="H513" s="9"/>
      <c r="K513" s="30"/>
      <c r="L513" s="30"/>
      <c r="M513" s="30"/>
      <c r="N513" s="30"/>
      <c r="O513" s="21"/>
      <c r="P513" s="21"/>
      <c r="Q513" s="29"/>
    </row>
    <row r="514" ht="15.75" customHeight="1">
      <c r="H514" s="9"/>
      <c r="K514" s="30"/>
      <c r="L514" s="30"/>
      <c r="M514" s="30"/>
      <c r="N514" s="30"/>
      <c r="O514" s="21"/>
      <c r="P514" s="21"/>
      <c r="Q514" s="29"/>
    </row>
    <row r="515" ht="15.75" customHeight="1">
      <c r="H515" s="9"/>
      <c r="K515" s="30"/>
      <c r="L515" s="30"/>
      <c r="M515" s="30"/>
      <c r="N515" s="30"/>
      <c r="O515" s="21"/>
      <c r="P515" s="21"/>
      <c r="Q515" s="29"/>
    </row>
    <row r="516" ht="15.75" customHeight="1">
      <c r="H516" s="9"/>
      <c r="K516" s="30"/>
      <c r="L516" s="30"/>
      <c r="M516" s="30"/>
      <c r="N516" s="30"/>
      <c r="O516" s="21"/>
      <c r="P516" s="21"/>
      <c r="Q516" s="29"/>
    </row>
    <row r="517" ht="15.75" customHeight="1">
      <c r="H517" s="9"/>
      <c r="K517" s="30"/>
      <c r="L517" s="30"/>
      <c r="M517" s="30"/>
      <c r="N517" s="30"/>
      <c r="O517" s="21"/>
      <c r="P517" s="21"/>
      <c r="Q517" s="29"/>
    </row>
    <row r="518" ht="15.75" customHeight="1">
      <c r="H518" s="9"/>
      <c r="K518" s="30"/>
      <c r="L518" s="30"/>
      <c r="M518" s="30"/>
      <c r="N518" s="30"/>
      <c r="O518" s="21"/>
      <c r="P518" s="21"/>
      <c r="Q518" s="29"/>
    </row>
    <row r="519" ht="15.75" customHeight="1">
      <c r="H519" s="9"/>
      <c r="K519" s="30"/>
      <c r="L519" s="30"/>
      <c r="M519" s="30"/>
      <c r="N519" s="30"/>
      <c r="O519" s="21"/>
      <c r="P519" s="21"/>
      <c r="Q519" s="29"/>
    </row>
    <row r="520" ht="15.75" customHeight="1">
      <c r="H520" s="9"/>
      <c r="K520" s="30"/>
      <c r="L520" s="30"/>
      <c r="M520" s="30"/>
      <c r="N520" s="30"/>
      <c r="O520" s="21"/>
      <c r="P520" s="21"/>
      <c r="Q520" s="29"/>
    </row>
    <row r="521" ht="15.75" customHeight="1">
      <c r="H521" s="9"/>
      <c r="K521" s="30"/>
      <c r="L521" s="30"/>
      <c r="M521" s="30"/>
      <c r="N521" s="30"/>
      <c r="O521" s="21"/>
      <c r="P521" s="21"/>
      <c r="Q521" s="29"/>
    </row>
    <row r="522" ht="15.75" customHeight="1">
      <c r="H522" s="9"/>
      <c r="K522" s="30"/>
      <c r="L522" s="30"/>
      <c r="M522" s="30"/>
      <c r="N522" s="30"/>
      <c r="O522" s="21"/>
      <c r="P522" s="21"/>
      <c r="Q522" s="29"/>
    </row>
    <row r="523" ht="15.75" customHeight="1">
      <c r="H523" s="9"/>
      <c r="K523" s="30"/>
      <c r="L523" s="30"/>
      <c r="M523" s="30"/>
      <c r="N523" s="30"/>
      <c r="O523" s="21"/>
      <c r="P523" s="21"/>
      <c r="Q523" s="29"/>
    </row>
    <row r="524" ht="15.75" customHeight="1">
      <c r="H524" s="9"/>
      <c r="K524" s="30"/>
      <c r="L524" s="30"/>
      <c r="M524" s="30"/>
      <c r="N524" s="30"/>
      <c r="O524" s="21"/>
      <c r="P524" s="21"/>
      <c r="Q524" s="29"/>
    </row>
    <row r="525" ht="15.75" customHeight="1">
      <c r="H525" s="9"/>
      <c r="K525" s="30"/>
      <c r="L525" s="30"/>
      <c r="M525" s="30"/>
      <c r="N525" s="30"/>
      <c r="O525" s="21"/>
      <c r="P525" s="21"/>
      <c r="Q525" s="29"/>
    </row>
    <row r="526" ht="15.75" customHeight="1">
      <c r="H526" s="9"/>
      <c r="K526" s="30"/>
      <c r="L526" s="30"/>
      <c r="M526" s="30"/>
      <c r="N526" s="30"/>
      <c r="O526" s="21"/>
      <c r="P526" s="21"/>
      <c r="Q526" s="29"/>
    </row>
    <row r="527" ht="15.75" customHeight="1">
      <c r="H527" s="9"/>
      <c r="K527" s="30"/>
      <c r="L527" s="30"/>
      <c r="M527" s="30"/>
      <c r="N527" s="30"/>
      <c r="O527" s="21"/>
      <c r="P527" s="21"/>
      <c r="Q527" s="29"/>
    </row>
    <row r="528" ht="15.75" customHeight="1">
      <c r="H528" s="9"/>
      <c r="K528" s="30"/>
      <c r="L528" s="30"/>
      <c r="M528" s="30"/>
      <c r="N528" s="30"/>
      <c r="O528" s="21"/>
      <c r="P528" s="21"/>
      <c r="Q528" s="29"/>
    </row>
    <row r="529" ht="15.75" customHeight="1">
      <c r="H529" s="9"/>
      <c r="K529" s="30"/>
      <c r="L529" s="30"/>
      <c r="M529" s="30"/>
      <c r="N529" s="30"/>
      <c r="O529" s="21"/>
      <c r="P529" s="21"/>
      <c r="Q529" s="29"/>
    </row>
    <row r="530" ht="15.75" customHeight="1">
      <c r="H530" s="9"/>
      <c r="K530" s="30"/>
      <c r="L530" s="30"/>
      <c r="M530" s="30"/>
      <c r="N530" s="30"/>
      <c r="O530" s="21"/>
      <c r="P530" s="21"/>
      <c r="Q530" s="29"/>
    </row>
    <row r="531" ht="15.75" customHeight="1">
      <c r="H531" s="9"/>
      <c r="K531" s="30"/>
      <c r="L531" s="30"/>
      <c r="M531" s="30"/>
      <c r="N531" s="30"/>
      <c r="O531" s="21"/>
      <c r="P531" s="21"/>
      <c r="Q531" s="29"/>
    </row>
    <row r="532" ht="15.75" customHeight="1">
      <c r="H532" s="9"/>
      <c r="K532" s="30"/>
      <c r="L532" s="30"/>
      <c r="M532" s="30"/>
      <c r="N532" s="30"/>
      <c r="O532" s="21"/>
      <c r="P532" s="21"/>
      <c r="Q532" s="29"/>
    </row>
    <row r="533" ht="15.75" customHeight="1">
      <c r="H533" s="9"/>
      <c r="K533" s="30"/>
      <c r="L533" s="30"/>
      <c r="M533" s="30"/>
      <c r="N533" s="30"/>
      <c r="O533" s="21"/>
      <c r="P533" s="21"/>
      <c r="Q533" s="29"/>
    </row>
    <row r="534" ht="15.75" customHeight="1">
      <c r="H534" s="9"/>
      <c r="K534" s="30"/>
      <c r="L534" s="30"/>
      <c r="M534" s="30"/>
      <c r="N534" s="30"/>
      <c r="O534" s="21"/>
      <c r="P534" s="21"/>
      <c r="Q534" s="29"/>
    </row>
    <row r="535" ht="15.75" customHeight="1">
      <c r="H535" s="9"/>
      <c r="K535" s="30"/>
      <c r="L535" s="30"/>
      <c r="M535" s="30"/>
      <c r="N535" s="30"/>
      <c r="O535" s="21"/>
      <c r="P535" s="21"/>
      <c r="Q535" s="29"/>
    </row>
    <row r="536" ht="15.75" customHeight="1">
      <c r="H536" s="9"/>
      <c r="K536" s="30"/>
      <c r="L536" s="30"/>
      <c r="M536" s="30"/>
      <c r="N536" s="30"/>
      <c r="O536" s="21"/>
      <c r="P536" s="21"/>
      <c r="Q536" s="29"/>
    </row>
    <row r="537" ht="15.75" customHeight="1">
      <c r="H537" s="9"/>
      <c r="K537" s="30"/>
      <c r="L537" s="30"/>
      <c r="M537" s="30"/>
      <c r="N537" s="30"/>
      <c r="O537" s="21"/>
      <c r="P537" s="21"/>
      <c r="Q537" s="29"/>
    </row>
    <row r="538" ht="15.75" customHeight="1">
      <c r="H538" s="9"/>
      <c r="K538" s="30"/>
      <c r="L538" s="30"/>
      <c r="M538" s="30"/>
      <c r="N538" s="30"/>
      <c r="O538" s="21"/>
      <c r="P538" s="21"/>
      <c r="Q538" s="29"/>
    </row>
    <row r="539" ht="15.75" customHeight="1">
      <c r="H539" s="9"/>
      <c r="K539" s="30"/>
      <c r="L539" s="30"/>
      <c r="M539" s="30"/>
      <c r="N539" s="30"/>
      <c r="O539" s="21"/>
      <c r="P539" s="21"/>
      <c r="Q539" s="29"/>
    </row>
    <row r="540" ht="15.75" customHeight="1">
      <c r="H540" s="9"/>
      <c r="K540" s="30"/>
      <c r="L540" s="30"/>
      <c r="M540" s="30"/>
      <c r="N540" s="30"/>
      <c r="O540" s="21"/>
      <c r="P540" s="21"/>
      <c r="Q540" s="29"/>
    </row>
    <row r="541" ht="15.75" customHeight="1">
      <c r="H541" s="9"/>
      <c r="K541" s="30"/>
      <c r="L541" s="30"/>
      <c r="M541" s="30"/>
      <c r="N541" s="30"/>
      <c r="O541" s="21"/>
      <c r="P541" s="21"/>
      <c r="Q541" s="29"/>
    </row>
    <row r="542" ht="15.75" customHeight="1">
      <c r="H542" s="9"/>
      <c r="K542" s="30"/>
      <c r="L542" s="30"/>
      <c r="M542" s="30"/>
      <c r="N542" s="30"/>
      <c r="O542" s="21"/>
      <c r="P542" s="21"/>
      <c r="Q542" s="29"/>
    </row>
    <row r="543" ht="15.75" customHeight="1">
      <c r="H543" s="9"/>
      <c r="K543" s="30"/>
      <c r="L543" s="30"/>
      <c r="M543" s="30"/>
      <c r="N543" s="30"/>
      <c r="O543" s="21"/>
      <c r="P543" s="21"/>
      <c r="Q543" s="29"/>
    </row>
    <row r="544" ht="15.75" customHeight="1">
      <c r="H544" s="9"/>
      <c r="K544" s="30"/>
      <c r="L544" s="30"/>
      <c r="M544" s="30"/>
      <c r="N544" s="30"/>
      <c r="O544" s="21"/>
      <c r="P544" s="21"/>
      <c r="Q544" s="29"/>
    </row>
    <row r="545" ht="15.75" customHeight="1">
      <c r="H545" s="9"/>
      <c r="K545" s="30"/>
      <c r="L545" s="30"/>
      <c r="M545" s="30"/>
      <c r="N545" s="30"/>
      <c r="O545" s="21"/>
      <c r="P545" s="21"/>
      <c r="Q545" s="29"/>
    </row>
    <row r="546" ht="15.75" customHeight="1">
      <c r="H546" s="9"/>
      <c r="K546" s="30"/>
      <c r="L546" s="30"/>
      <c r="M546" s="30"/>
      <c r="N546" s="30"/>
      <c r="O546" s="21"/>
      <c r="P546" s="21"/>
      <c r="Q546" s="29"/>
    </row>
    <row r="547" ht="15.75" customHeight="1">
      <c r="H547" s="9"/>
      <c r="K547" s="30"/>
      <c r="L547" s="30"/>
      <c r="M547" s="30"/>
      <c r="N547" s="30"/>
      <c r="O547" s="21"/>
      <c r="P547" s="21"/>
      <c r="Q547" s="29"/>
    </row>
    <row r="548" ht="15.75" customHeight="1">
      <c r="H548" s="9"/>
      <c r="K548" s="30"/>
      <c r="L548" s="30"/>
      <c r="M548" s="30"/>
      <c r="N548" s="30"/>
      <c r="O548" s="21"/>
      <c r="P548" s="21"/>
      <c r="Q548" s="29"/>
    </row>
    <row r="549" ht="15.75" customHeight="1">
      <c r="H549" s="9"/>
      <c r="K549" s="30"/>
      <c r="L549" s="30"/>
      <c r="M549" s="30"/>
      <c r="N549" s="30"/>
      <c r="O549" s="21"/>
      <c r="P549" s="21"/>
      <c r="Q549" s="29"/>
    </row>
    <row r="550" ht="15.75" customHeight="1">
      <c r="H550" s="9"/>
      <c r="K550" s="30"/>
      <c r="L550" s="30"/>
      <c r="M550" s="30"/>
      <c r="N550" s="30"/>
      <c r="O550" s="21"/>
      <c r="P550" s="21"/>
      <c r="Q550" s="29"/>
    </row>
    <row r="551" ht="15.75" customHeight="1">
      <c r="H551" s="9"/>
      <c r="K551" s="30"/>
      <c r="L551" s="30"/>
      <c r="M551" s="30"/>
      <c r="N551" s="30"/>
      <c r="O551" s="21"/>
      <c r="P551" s="21"/>
      <c r="Q551" s="29"/>
    </row>
    <row r="552" ht="15.75" customHeight="1">
      <c r="H552" s="9"/>
      <c r="K552" s="30"/>
      <c r="L552" s="30"/>
      <c r="M552" s="30"/>
      <c r="N552" s="30"/>
      <c r="O552" s="21"/>
      <c r="P552" s="21"/>
      <c r="Q552" s="29"/>
    </row>
    <row r="553" ht="15.75" customHeight="1">
      <c r="H553" s="9"/>
      <c r="K553" s="30"/>
      <c r="L553" s="30"/>
      <c r="M553" s="30"/>
      <c r="N553" s="30"/>
      <c r="O553" s="21"/>
      <c r="P553" s="21"/>
      <c r="Q553" s="29"/>
    </row>
    <row r="554" ht="15.75" customHeight="1">
      <c r="H554" s="9"/>
      <c r="K554" s="30"/>
      <c r="L554" s="30"/>
      <c r="M554" s="30"/>
      <c r="N554" s="30"/>
      <c r="O554" s="21"/>
      <c r="P554" s="21"/>
      <c r="Q554" s="29"/>
    </row>
    <row r="555" ht="15.75" customHeight="1">
      <c r="H555" s="9"/>
      <c r="K555" s="30"/>
      <c r="L555" s="30"/>
      <c r="M555" s="30"/>
      <c r="N555" s="30"/>
      <c r="O555" s="21"/>
      <c r="P555" s="21"/>
      <c r="Q555" s="29"/>
    </row>
    <row r="556" ht="15.75" customHeight="1">
      <c r="H556" s="9"/>
      <c r="K556" s="30"/>
      <c r="L556" s="30"/>
      <c r="M556" s="30"/>
      <c r="N556" s="30"/>
      <c r="O556" s="21"/>
      <c r="P556" s="21"/>
      <c r="Q556" s="29"/>
    </row>
    <row r="557" ht="15.75" customHeight="1">
      <c r="H557" s="9"/>
      <c r="K557" s="30"/>
      <c r="L557" s="30"/>
      <c r="M557" s="30"/>
      <c r="N557" s="30"/>
      <c r="O557" s="21"/>
      <c r="P557" s="21"/>
      <c r="Q557" s="29"/>
    </row>
    <row r="558" ht="15.75" customHeight="1">
      <c r="H558" s="9"/>
      <c r="K558" s="30"/>
      <c r="L558" s="30"/>
      <c r="M558" s="30"/>
      <c r="N558" s="30"/>
      <c r="O558" s="21"/>
      <c r="P558" s="21"/>
      <c r="Q558" s="29"/>
    </row>
    <row r="559" ht="15.75" customHeight="1">
      <c r="H559" s="9"/>
      <c r="K559" s="30"/>
      <c r="L559" s="30"/>
      <c r="M559" s="30"/>
      <c r="N559" s="30"/>
      <c r="O559" s="21"/>
      <c r="P559" s="21"/>
      <c r="Q559" s="29"/>
    </row>
    <row r="560" ht="15.75" customHeight="1">
      <c r="H560" s="9"/>
      <c r="K560" s="30"/>
      <c r="L560" s="30"/>
      <c r="M560" s="30"/>
      <c r="N560" s="30"/>
      <c r="O560" s="21"/>
      <c r="P560" s="21"/>
      <c r="Q560" s="29"/>
    </row>
    <row r="561" ht="15.75" customHeight="1">
      <c r="H561" s="9"/>
      <c r="K561" s="30"/>
      <c r="L561" s="30"/>
      <c r="M561" s="30"/>
      <c r="N561" s="30"/>
      <c r="O561" s="21"/>
      <c r="P561" s="21"/>
      <c r="Q561" s="29"/>
    </row>
    <row r="562" ht="15.75" customHeight="1">
      <c r="H562" s="9"/>
      <c r="K562" s="30"/>
      <c r="L562" s="30"/>
      <c r="M562" s="30"/>
      <c r="N562" s="30"/>
      <c r="O562" s="21"/>
      <c r="P562" s="21"/>
      <c r="Q562" s="29"/>
    </row>
    <row r="563" ht="15.75" customHeight="1">
      <c r="H563" s="9"/>
      <c r="K563" s="30"/>
      <c r="L563" s="30"/>
      <c r="M563" s="30"/>
      <c r="N563" s="30"/>
      <c r="O563" s="21"/>
      <c r="P563" s="21"/>
      <c r="Q563" s="29"/>
    </row>
    <row r="564" ht="15.75" customHeight="1">
      <c r="H564" s="9"/>
      <c r="K564" s="30"/>
      <c r="L564" s="30"/>
      <c r="M564" s="30"/>
      <c r="N564" s="30"/>
      <c r="O564" s="21"/>
      <c r="P564" s="21"/>
      <c r="Q564" s="29"/>
    </row>
    <row r="565" ht="15.75" customHeight="1">
      <c r="H565" s="9"/>
      <c r="K565" s="30"/>
      <c r="L565" s="30"/>
      <c r="M565" s="30"/>
      <c r="N565" s="30"/>
      <c r="O565" s="21"/>
      <c r="P565" s="21"/>
      <c r="Q565" s="29"/>
    </row>
    <row r="566" ht="15.75" customHeight="1">
      <c r="H566" s="9"/>
      <c r="K566" s="30"/>
      <c r="L566" s="30"/>
      <c r="M566" s="30"/>
      <c r="N566" s="30"/>
      <c r="O566" s="21"/>
      <c r="P566" s="21"/>
      <c r="Q566" s="29"/>
    </row>
    <row r="567" ht="15.75" customHeight="1">
      <c r="H567" s="9"/>
      <c r="K567" s="30"/>
      <c r="L567" s="30"/>
      <c r="M567" s="30"/>
      <c r="N567" s="30"/>
      <c r="O567" s="21"/>
      <c r="P567" s="21"/>
      <c r="Q567" s="29"/>
    </row>
    <row r="568" ht="15.75" customHeight="1">
      <c r="H568" s="9"/>
      <c r="K568" s="30"/>
      <c r="L568" s="30"/>
      <c r="M568" s="30"/>
      <c r="N568" s="30"/>
      <c r="O568" s="21"/>
      <c r="P568" s="21"/>
      <c r="Q568" s="29"/>
    </row>
    <row r="569" ht="15.75" customHeight="1">
      <c r="H569" s="9"/>
      <c r="K569" s="30"/>
      <c r="L569" s="30"/>
      <c r="M569" s="30"/>
      <c r="N569" s="30"/>
      <c r="O569" s="21"/>
      <c r="P569" s="21"/>
      <c r="Q569" s="29"/>
    </row>
    <row r="570" ht="15.75" customHeight="1">
      <c r="H570" s="9"/>
      <c r="K570" s="30"/>
      <c r="L570" s="30"/>
      <c r="M570" s="30"/>
      <c r="N570" s="30"/>
      <c r="O570" s="21"/>
      <c r="P570" s="21"/>
      <c r="Q570" s="29"/>
    </row>
    <row r="571" ht="15.75" customHeight="1">
      <c r="H571" s="9"/>
      <c r="K571" s="30"/>
      <c r="L571" s="30"/>
      <c r="M571" s="30"/>
      <c r="N571" s="30"/>
      <c r="O571" s="21"/>
      <c r="P571" s="21"/>
      <c r="Q571" s="29"/>
    </row>
    <row r="572" ht="15.75" customHeight="1">
      <c r="H572" s="9"/>
      <c r="K572" s="30"/>
      <c r="L572" s="30"/>
      <c r="M572" s="30"/>
      <c r="N572" s="30"/>
      <c r="O572" s="21"/>
      <c r="P572" s="21"/>
      <c r="Q572" s="29"/>
    </row>
    <row r="573" ht="15.75" customHeight="1">
      <c r="H573" s="9"/>
      <c r="K573" s="30"/>
      <c r="L573" s="30"/>
      <c r="M573" s="30"/>
      <c r="N573" s="30"/>
      <c r="O573" s="21"/>
      <c r="P573" s="21"/>
      <c r="Q573" s="29"/>
    </row>
    <row r="574" ht="15.75" customHeight="1">
      <c r="H574" s="9"/>
      <c r="K574" s="30"/>
      <c r="L574" s="30"/>
      <c r="M574" s="30"/>
      <c r="N574" s="30"/>
      <c r="O574" s="21"/>
      <c r="P574" s="21"/>
      <c r="Q574" s="29"/>
    </row>
    <row r="575" ht="15.75" customHeight="1">
      <c r="H575" s="9"/>
      <c r="K575" s="30"/>
      <c r="L575" s="30"/>
      <c r="M575" s="30"/>
      <c r="N575" s="30"/>
      <c r="O575" s="21"/>
      <c r="P575" s="21"/>
      <c r="Q575" s="29"/>
    </row>
    <row r="576" ht="15.75" customHeight="1">
      <c r="H576" s="9"/>
      <c r="K576" s="30"/>
      <c r="L576" s="30"/>
      <c r="M576" s="30"/>
      <c r="N576" s="30"/>
      <c r="O576" s="21"/>
      <c r="P576" s="21"/>
      <c r="Q576" s="29"/>
    </row>
    <row r="577" ht="15.75" customHeight="1">
      <c r="H577" s="9"/>
      <c r="K577" s="30"/>
      <c r="L577" s="30"/>
      <c r="M577" s="30"/>
      <c r="N577" s="30"/>
      <c r="O577" s="21"/>
      <c r="P577" s="21"/>
      <c r="Q577" s="29"/>
    </row>
    <row r="578" ht="15.75" customHeight="1">
      <c r="H578" s="9"/>
      <c r="K578" s="30"/>
      <c r="L578" s="30"/>
      <c r="M578" s="30"/>
      <c r="N578" s="30"/>
      <c r="O578" s="21"/>
      <c r="P578" s="21"/>
      <c r="Q578" s="29"/>
    </row>
    <row r="579" ht="15.75" customHeight="1">
      <c r="H579" s="9"/>
      <c r="K579" s="30"/>
      <c r="L579" s="30"/>
      <c r="M579" s="30"/>
      <c r="N579" s="30"/>
      <c r="O579" s="21"/>
      <c r="P579" s="21"/>
      <c r="Q579" s="29"/>
    </row>
    <row r="580" ht="15.75" customHeight="1">
      <c r="H580" s="9"/>
      <c r="K580" s="30"/>
      <c r="L580" s="30"/>
      <c r="M580" s="30"/>
      <c r="N580" s="30"/>
      <c r="O580" s="21"/>
      <c r="P580" s="21"/>
      <c r="Q580" s="29"/>
    </row>
    <row r="581" ht="15.75" customHeight="1">
      <c r="H581" s="9"/>
      <c r="K581" s="30"/>
      <c r="L581" s="30"/>
      <c r="M581" s="30"/>
      <c r="N581" s="30"/>
      <c r="O581" s="21"/>
      <c r="P581" s="21"/>
      <c r="Q581" s="29"/>
    </row>
    <row r="582" ht="15.75" customHeight="1">
      <c r="H582" s="9"/>
      <c r="K582" s="30"/>
      <c r="L582" s="30"/>
      <c r="M582" s="30"/>
      <c r="N582" s="30"/>
      <c r="O582" s="21"/>
      <c r="P582" s="21"/>
      <c r="Q582" s="29"/>
    </row>
    <row r="583" ht="15.75" customHeight="1">
      <c r="H583" s="9"/>
      <c r="K583" s="30"/>
      <c r="L583" s="30"/>
      <c r="M583" s="30"/>
      <c r="N583" s="30"/>
      <c r="O583" s="21"/>
      <c r="P583" s="21"/>
      <c r="Q583" s="29"/>
    </row>
    <row r="584" ht="15.75" customHeight="1">
      <c r="H584" s="9"/>
      <c r="K584" s="30"/>
      <c r="L584" s="30"/>
      <c r="M584" s="30"/>
      <c r="N584" s="30"/>
      <c r="O584" s="21"/>
      <c r="P584" s="21"/>
      <c r="Q584" s="29"/>
    </row>
    <row r="585" ht="15.75" customHeight="1">
      <c r="H585" s="9"/>
      <c r="K585" s="30"/>
      <c r="L585" s="30"/>
      <c r="M585" s="30"/>
      <c r="N585" s="30"/>
      <c r="O585" s="21"/>
      <c r="P585" s="21"/>
      <c r="Q585" s="29"/>
    </row>
    <row r="586" ht="15.75" customHeight="1">
      <c r="H586" s="9"/>
      <c r="K586" s="30"/>
      <c r="L586" s="30"/>
      <c r="M586" s="30"/>
      <c r="N586" s="30"/>
      <c r="O586" s="21"/>
      <c r="P586" s="21"/>
      <c r="Q586" s="29"/>
    </row>
    <row r="587" ht="15.75" customHeight="1">
      <c r="H587" s="9"/>
      <c r="K587" s="30"/>
      <c r="L587" s="30"/>
      <c r="M587" s="30"/>
      <c r="N587" s="30"/>
      <c r="O587" s="21"/>
      <c r="P587" s="21"/>
      <c r="Q587" s="29"/>
    </row>
    <row r="588" ht="15.75" customHeight="1">
      <c r="H588" s="9"/>
      <c r="K588" s="30"/>
      <c r="L588" s="30"/>
      <c r="M588" s="30"/>
      <c r="N588" s="30"/>
      <c r="O588" s="21"/>
      <c r="P588" s="21"/>
      <c r="Q588" s="29"/>
    </row>
    <row r="589" ht="15.75" customHeight="1">
      <c r="H589" s="9"/>
      <c r="K589" s="30"/>
      <c r="L589" s="30"/>
      <c r="M589" s="30"/>
      <c r="N589" s="30"/>
      <c r="O589" s="21"/>
      <c r="P589" s="21"/>
      <c r="Q589" s="29"/>
    </row>
    <row r="590" ht="15.75" customHeight="1">
      <c r="H590" s="9"/>
      <c r="K590" s="30"/>
      <c r="L590" s="30"/>
      <c r="M590" s="30"/>
      <c r="N590" s="30"/>
      <c r="O590" s="21"/>
      <c r="P590" s="21"/>
      <c r="Q590" s="29"/>
    </row>
    <row r="591" ht="15.75" customHeight="1">
      <c r="H591" s="9"/>
      <c r="K591" s="30"/>
      <c r="L591" s="30"/>
      <c r="M591" s="30"/>
      <c r="N591" s="30"/>
      <c r="O591" s="21"/>
      <c r="P591" s="21"/>
      <c r="Q591" s="29"/>
    </row>
    <row r="592" ht="15.75" customHeight="1">
      <c r="H592" s="9"/>
      <c r="K592" s="30"/>
      <c r="L592" s="30"/>
      <c r="M592" s="30"/>
      <c r="N592" s="30"/>
      <c r="O592" s="21"/>
      <c r="P592" s="21"/>
      <c r="Q592" s="29"/>
    </row>
    <row r="593" ht="15.75" customHeight="1">
      <c r="H593" s="9"/>
      <c r="K593" s="30"/>
      <c r="L593" s="30"/>
      <c r="M593" s="30"/>
      <c r="N593" s="30"/>
      <c r="O593" s="21"/>
      <c r="P593" s="21"/>
      <c r="Q593" s="29"/>
    </row>
    <row r="594" ht="15.75" customHeight="1">
      <c r="H594" s="9"/>
      <c r="K594" s="30"/>
      <c r="L594" s="30"/>
      <c r="M594" s="30"/>
      <c r="N594" s="30"/>
      <c r="O594" s="21"/>
      <c r="P594" s="21"/>
      <c r="Q594" s="29"/>
    </row>
    <row r="595" ht="15.75" customHeight="1">
      <c r="H595" s="9"/>
      <c r="K595" s="30"/>
      <c r="L595" s="30"/>
      <c r="M595" s="30"/>
      <c r="N595" s="30"/>
      <c r="O595" s="21"/>
      <c r="P595" s="21"/>
      <c r="Q595" s="29"/>
    </row>
    <row r="596" ht="15.75" customHeight="1">
      <c r="H596" s="9"/>
      <c r="K596" s="30"/>
      <c r="L596" s="30"/>
      <c r="M596" s="30"/>
      <c r="N596" s="30"/>
      <c r="O596" s="21"/>
      <c r="P596" s="21"/>
      <c r="Q596" s="29"/>
    </row>
    <row r="597" ht="15.75" customHeight="1">
      <c r="H597" s="9"/>
      <c r="K597" s="30"/>
      <c r="L597" s="30"/>
      <c r="M597" s="30"/>
      <c r="N597" s="30"/>
      <c r="O597" s="21"/>
      <c r="P597" s="21"/>
      <c r="Q597" s="29"/>
    </row>
    <row r="598" ht="15.75" customHeight="1">
      <c r="H598" s="9"/>
      <c r="K598" s="30"/>
      <c r="L598" s="30"/>
      <c r="M598" s="30"/>
      <c r="N598" s="30"/>
      <c r="O598" s="21"/>
      <c r="P598" s="21"/>
      <c r="Q598" s="29"/>
    </row>
    <row r="599" ht="15.75" customHeight="1">
      <c r="H599" s="9"/>
      <c r="K599" s="30"/>
      <c r="L599" s="30"/>
      <c r="M599" s="30"/>
      <c r="N599" s="30"/>
      <c r="O599" s="21"/>
      <c r="P599" s="21"/>
      <c r="Q599" s="29"/>
    </row>
    <row r="600" ht="15.75" customHeight="1">
      <c r="H600" s="9"/>
      <c r="K600" s="30"/>
      <c r="L600" s="30"/>
      <c r="M600" s="30"/>
      <c r="N600" s="30"/>
      <c r="O600" s="21"/>
      <c r="P600" s="21"/>
      <c r="Q600" s="29"/>
    </row>
    <row r="601" ht="15.75" customHeight="1">
      <c r="H601" s="9"/>
      <c r="K601" s="30"/>
      <c r="L601" s="30"/>
      <c r="M601" s="30"/>
      <c r="N601" s="30"/>
      <c r="O601" s="21"/>
      <c r="P601" s="21"/>
      <c r="Q601" s="29"/>
    </row>
    <row r="602" ht="15.75" customHeight="1">
      <c r="H602" s="9"/>
      <c r="K602" s="30"/>
      <c r="L602" s="30"/>
      <c r="M602" s="30"/>
      <c r="N602" s="30"/>
      <c r="O602" s="21"/>
      <c r="P602" s="21"/>
      <c r="Q602" s="29"/>
    </row>
    <row r="603" ht="15.75" customHeight="1">
      <c r="H603" s="9"/>
      <c r="K603" s="30"/>
      <c r="L603" s="30"/>
      <c r="M603" s="30"/>
      <c r="N603" s="30"/>
      <c r="O603" s="21"/>
      <c r="P603" s="21"/>
      <c r="Q603" s="29"/>
    </row>
    <row r="604" ht="15.75" customHeight="1">
      <c r="H604" s="9"/>
      <c r="K604" s="30"/>
      <c r="L604" s="30"/>
      <c r="M604" s="30"/>
      <c r="N604" s="30"/>
      <c r="O604" s="21"/>
      <c r="P604" s="21"/>
      <c r="Q604" s="29"/>
    </row>
    <row r="605" ht="15.75" customHeight="1">
      <c r="H605" s="9"/>
      <c r="K605" s="30"/>
      <c r="L605" s="30"/>
      <c r="M605" s="30"/>
      <c r="N605" s="30"/>
      <c r="O605" s="21"/>
      <c r="P605" s="21"/>
      <c r="Q605" s="29"/>
    </row>
    <row r="606" ht="15.75" customHeight="1">
      <c r="H606" s="9"/>
      <c r="K606" s="30"/>
      <c r="L606" s="30"/>
      <c r="M606" s="30"/>
      <c r="N606" s="30"/>
      <c r="O606" s="21"/>
      <c r="P606" s="21"/>
      <c r="Q606" s="29"/>
    </row>
    <row r="607" ht="15.75" customHeight="1">
      <c r="H607" s="9"/>
      <c r="K607" s="30"/>
      <c r="L607" s="30"/>
      <c r="M607" s="30"/>
      <c r="N607" s="30"/>
      <c r="O607" s="21"/>
      <c r="P607" s="21"/>
      <c r="Q607" s="29"/>
    </row>
    <row r="608" ht="15.75" customHeight="1">
      <c r="H608" s="9"/>
      <c r="K608" s="30"/>
      <c r="L608" s="30"/>
      <c r="M608" s="30"/>
      <c r="N608" s="30"/>
      <c r="O608" s="21"/>
      <c r="P608" s="21"/>
      <c r="Q608" s="29"/>
    </row>
    <row r="609" ht="15.75" customHeight="1">
      <c r="H609" s="9"/>
      <c r="K609" s="30"/>
      <c r="L609" s="30"/>
      <c r="M609" s="30"/>
      <c r="N609" s="30"/>
      <c r="O609" s="21"/>
      <c r="P609" s="21"/>
      <c r="Q609" s="29"/>
    </row>
    <row r="610" ht="15.75" customHeight="1">
      <c r="H610" s="9"/>
      <c r="K610" s="30"/>
      <c r="L610" s="30"/>
      <c r="M610" s="30"/>
      <c r="N610" s="30"/>
      <c r="O610" s="21"/>
      <c r="P610" s="21"/>
      <c r="Q610" s="29"/>
    </row>
    <row r="611" ht="15.75" customHeight="1">
      <c r="H611" s="9"/>
      <c r="K611" s="30"/>
      <c r="L611" s="30"/>
      <c r="M611" s="30"/>
      <c r="N611" s="30"/>
      <c r="O611" s="21"/>
      <c r="P611" s="21"/>
      <c r="Q611" s="29"/>
    </row>
    <row r="612" ht="15.75" customHeight="1">
      <c r="H612" s="9"/>
      <c r="K612" s="30"/>
      <c r="L612" s="30"/>
      <c r="M612" s="30"/>
      <c r="N612" s="30"/>
      <c r="O612" s="21"/>
      <c r="P612" s="21"/>
      <c r="Q612" s="29"/>
    </row>
    <row r="613" ht="15.75" customHeight="1">
      <c r="H613" s="9"/>
      <c r="K613" s="30"/>
      <c r="L613" s="30"/>
      <c r="M613" s="30"/>
      <c r="N613" s="30"/>
      <c r="O613" s="21"/>
      <c r="P613" s="21"/>
      <c r="Q613" s="29"/>
    </row>
    <row r="614" ht="15.75" customHeight="1">
      <c r="H614" s="9"/>
      <c r="K614" s="30"/>
      <c r="L614" s="30"/>
      <c r="M614" s="30"/>
      <c r="N614" s="30"/>
      <c r="O614" s="21"/>
      <c r="P614" s="21"/>
      <c r="Q614" s="29"/>
    </row>
    <row r="615" ht="15.75" customHeight="1">
      <c r="H615" s="9"/>
      <c r="K615" s="30"/>
      <c r="L615" s="30"/>
      <c r="M615" s="30"/>
      <c r="N615" s="30"/>
      <c r="O615" s="21"/>
      <c r="P615" s="21"/>
      <c r="Q615" s="29"/>
    </row>
    <row r="616" ht="15.75" customHeight="1">
      <c r="H616" s="9"/>
      <c r="K616" s="30"/>
      <c r="L616" s="30"/>
      <c r="M616" s="30"/>
      <c r="N616" s="30"/>
      <c r="O616" s="21"/>
      <c r="P616" s="21"/>
      <c r="Q616" s="29"/>
    </row>
    <row r="617" ht="15.75" customHeight="1">
      <c r="H617" s="9"/>
      <c r="K617" s="30"/>
      <c r="L617" s="30"/>
      <c r="M617" s="30"/>
      <c r="N617" s="30"/>
      <c r="O617" s="21"/>
      <c r="P617" s="21"/>
      <c r="Q617" s="29"/>
    </row>
    <row r="618" ht="15.75" customHeight="1">
      <c r="H618" s="9"/>
      <c r="K618" s="30"/>
      <c r="L618" s="30"/>
      <c r="M618" s="30"/>
      <c r="N618" s="30"/>
      <c r="O618" s="21"/>
      <c r="P618" s="21"/>
      <c r="Q618" s="29"/>
    </row>
    <row r="619" ht="15.75" customHeight="1">
      <c r="H619" s="9"/>
      <c r="K619" s="30"/>
      <c r="L619" s="30"/>
      <c r="M619" s="30"/>
      <c r="N619" s="30"/>
      <c r="O619" s="21"/>
      <c r="P619" s="21"/>
      <c r="Q619" s="29"/>
    </row>
    <row r="620" ht="15.75" customHeight="1">
      <c r="H620" s="9"/>
      <c r="K620" s="30"/>
      <c r="L620" s="30"/>
      <c r="M620" s="30"/>
      <c r="N620" s="30"/>
      <c r="O620" s="21"/>
      <c r="P620" s="21"/>
      <c r="Q620" s="29"/>
    </row>
    <row r="621" ht="15.75" customHeight="1">
      <c r="H621" s="9"/>
      <c r="K621" s="30"/>
      <c r="L621" s="30"/>
      <c r="M621" s="30"/>
      <c r="N621" s="30"/>
      <c r="O621" s="21"/>
      <c r="P621" s="21"/>
      <c r="Q621" s="29"/>
    </row>
    <row r="622" ht="15.75" customHeight="1">
      <c r="H622" s="9"/>
      <c r="K622" s="30"/>
      <c r="L622" s="30"/>
      <c r="M622" s="30"/>
      <c r="N622" s="30"/>
      <c r="O622" s="21"/>
      <c r="P622" s="21"/>
      <c r="Q622" s="29"/>
    </row>
    <row r="623" ht="15.75" customHeight="1">
      <c r="H623" s="9"/>
      <c r="K623" s="30"/>
      <c r="L623" s="30"/>
      <c r="M623" s="30"/>
      <c r="N623" s="30"/>
      <c r="O623" s="21"/>
      <c r="P623" s="21"/>
      <c r="Q623" s="29"/>
    </row>
    <row r="624" ht="15.75" customHeight="1">
      <c r="H624" s="9"/>
      <c r="K624" s="30"/>
      <c r="L624" s="30"/>
      <c r="M624" s="30"/>
      <c r="N624" s="30"/>
      <c r="O624" s="21"/>
      <c r="P624" s="21"/>
      <c r="Q624" s="29"/>
    </row>
    <row r="625" ht="15.75" customHeight="1">
      <c r="H625" s="9"/>
      <c r="K625" s="30"/>
      <c r="L625" s="30"/>
      <c r="M625" s="30"/>
      <c r="N625" s="30"/>
      <c r="O625" s="21"/>
      <c r="P625" s="21"/>
      <c r="Q625" s="29"/>
    </row>
    <row r="626" ht="15.75" customHeight="1">
      <c r="H626" s="9"/>
      <c r="K626" s="30"/>
      <c r="L626" s="30"/>
      <c r="M626" s="30"/>
      <c r="N626" s="30"/>
      <c r="O626" s="21"/>
      <c r="P626" s="21"/>
      <c r="Q626" s="29"/>
    </row>
    <row r="627" ht="15.75" customHeight="1">
      <c r="H627" s="9"/>
      <c r="K627" s="30"/>
      <c r="L627" s="30"/>
      <c r="M627" s="30"/>
      <c r="N627" s="30"/>
      <c r="O627" s="21"/>
      <c r="P627" s="21"/>
      <c r="Q627" s="29"/>
    </row>
    <row r="628" ht="15.75" customHeight="1">
      <c r="H628" s="9"/>
      <c r="K628" s="30"/>
      <c r="L628" s="30"/>
      <c r="M628" s="30"/>
      <c r="N628" s="30"/>
      <c r="O628" s="21"/>
      <c r="P628" s="21"/>
      <c r="Q628" s="29"/>
    </row>
    <row r="629" ht="15.75" customHeight="1">
      <c r="H629" s="9"/>
      <c r="K629" s="30"/>
      <c r="L629" s="30"/>
      <c r="M629" s="30"/>
      <c r="N629" s="30"/>
      <c r="O629" s="21"/>
      <c r="P629" s="21"/>
      <c r="Q629" s="29"/>
    </row>
    <row r="630" ht="15.75" customHeight="1">
      <c r="H630" s="9"/>
      <c r="K630" s="30"/>
      <c r="L630" s="30"/>
      <c r="M630" s="30"/>
      <c r="N630" s="30"/>
      <c r="O630" s="21"/>
      <c r="P630" s="21"/>
      <c r="Q630" s="29"/>
    </row>
    <row r="631" ht="15.75" customHeight="1">
      <c r="H631" s="9"/>
      <c r="K631" s="30"/>
      <c r="L631" s="30"/>
      <c r="M631" s="30"/>
      <c r="N631" s="30"/>
      <c r="O631" s="21"/>
      <c r="P631" s="21"/>
      <c r="Q631" s="29"/>
    </row>
    <row r="632" ht="15.75" customHeight="1">
      <c r="H632" s="9"/>
      <c r="K632" s="30"/>
      <c r="L632" s="30"/>
      <c r="M632" s="30"/>
      <c r="N632" s="30"/>
      <c r="O632" s="21"/>
      <c r="P632" s="21"/>
      <c r="Q632" s="29"/>
    </row>
    <row r="633" ht="15.75" customHeight="1">
      <c r="H633" s="9"/>
      <c r="K633" s="30"/>
      <c r="L633" s="30"/>
      <c r="M633" s="30"/>
      <c r="N633" s="30"/>
      <c r="O633" s="21"/>
      <c r="P633" s="21"/>
      <c r="Q633" s="29"/>
    </row>
    <row r="634" ht="15.75" customHeight="1">
      <c r="H634" s="9"/>
      <c r="K634" s="30"/>
      <c r="L634" s="30"/>
      <c r="M634" s="30"/>
      <c r="N634" s="30"/>
      <c r="O634" s="21"/>
      <c r="P634" s="21"/>
      <c r="Q634" s="29"/>
    </row>
    <row r="635" ht="15.75" customHeight="1">
      <c r="H635" s="9"/>
      <c r="K635" s="30"/>
      <c r="L635" s="30"/>
      <c r="M635" s="30"/>
      <c r="N635" s="30"/>
      <c r="O635" s="21"/>
      <c r="P635" s="21"/>
      <c r="Q635" s="29"/>
    </row>
    <row r="636" ht="15.75" customHeight="1">
      <c r="H636" s="9"/>
      <c r="K636" s="30"/>
      <c r="L636" s="30"/>
      <c r="M636" s="30"/>
      <c r="N636" s="30"/>
      <c r="O636" s="21"/>
      <c r="P636" s="21"/>
      <c r="Q636" s="29"/>
    </row>
    <row r="637" ht="15.75" customHeight="1">
      <c r="H637" s="9"/>
      <c r="K637" s="30"/>
      <c r="L637" s="30"/>
      <c r="M637" s="30"/>
      <c r="N637" s="30"/>
      <c r="O637" s="21"/>
      <c r="P637" s="21"/>
      <c r="Q637" s="29"/>
    </row>
    <row r="638" ht="15.75" customHeight="1">
      <c r="H638" s="9"/>
      <c r="K638" s="30"/>
      <c r="L638" s="30"/>
      <c r="M638" s="30"/>
      <c r="N638" s="30"/>
      <c r="O638" s="21"/>
      <c r="P638" s="21"/>
      <c r="Q638" s="29"/>
    </row>
    <row r="639" ht="15.75" customHeight="1">
      <c r="H639" s="9"/>
      <c r="K639" s="30"/>
      <c r="L639" s="30"/>
      <c r="M639" s="30"/>
      <c r="N639" s="30"/>
      <c r="O639" s="21"/>
      <c r="P639" s="21"/>
      <c r="Q639" s="29"/>
    </row>
    <row r="640" ht="15.75" customHeight="1">
      <c r="H640" s="9"/>
      <c r="K640" s="30"/>
      <c r="L640" s="30"/>
      <c r="M640" s="30"/>
      <c r="N640" s="30"/>
      <c r="O640" s="21"/>
      <c r="P640" s="21"/>
      <c r="Q640" s="29"/>
    </row>
    <row r="641" ht="15.75" customHeight="1">
      <c r="H641" s="9"/>
      <c r="K641" s="30"/>
      <c r="L641" s="30"/>
      <c r="M641" s="30"/>
      <c r="N641" s="30"/>
      <c r="O641" s="21"/>
      <c r="P641" s="21"/>
      <c r="Q641" s="29"/>
    </row>
    <row r="642" ht="15.75" customHeight="1">
      <c r="H642" s="9"/>
      <c r="K642" s="30"/>
      <c r="L642" s="30"/>
      <c r="M642" s="30"/>
      <c r="N642" s="30"/>
      <c r="O642" s="21"/>
      <c r="P642" s="21"/>
      <c r="Q642" s="29"/>
    </row>
    <row r="643" ht="15.75" customHeight="1">
      <c r="H643" s="9"/>
      <c r="K643" s="30"/>
      <c r="L643" s="30"/>
      <c r="M643" s="30"/>
      <c r="N643" s="30"/>
      <c r="O643" s="21"/>
      <c r="P643" s="21"/>
      <c r="Q643" s="29"/>
    </row>
    <row r="644" ht="15.75" customHeight="1">
      <c r="H644" s="9"/>
      <c r="K644" s="30"/>
      <c r="L644" s="30"/>
      <c r="M644" s="30"/>
      <c r="N644" s="30"/>
      <c r="O644" s="21"/>
      <c r="P644" s="21"/>
      <c r="Q644" s="29"/>
    </row>
    <row r="645" ht="15.75" customHeight="1">
      <c r="H645" s="9"/>
      <c r="K645" s="30"/>
      <c r="L645" s="30"/>
      <c r="M645" s="30"/>
      <c r="N645" s="30"/>
      <c r="O645" s="21"/>
      <c r="P645" s="21"/>
      <c r="Q645" s="29"/>
    </row>
    <row r="646" ht="15.75" customHeight="1">
      <c r="H646" s="9"/>
      <c r="K646" s="30"/>
      <c r="L646" s="30"/>
      <c r="M646" s="30"/>
      <c r="N646" s="30"/>
      <c r="O646" s="21"/>
      <c r="P646" s="21"/>
      <c r="Q646" s="29"/>
    </row>
    <row r="647" ht="15.75" customHeight="1">
      <c r="H647" s="9"/>
      <c r="K647" s="30"/>
      <c r="L647" s="30"/>
      <c r="M647" s="30"/>
      <c r="N647" s="30"/>
      <c r="O647" s="21"/>
      <c r="P647" s="21"/>
      <c r="Q647" s="29"/>
    </row>
    <row r="648" ht="15.75" customHeight="1">
      <c r="H648" s="9"/>
      <c r="K648" s="30"/>
      <c r="L648" s="30"/>
      <c r="M648" s="30"/>
      <c r="N648" s="30"/>
      <c r="O648" s="21"/>
      <c r="P648" s="21"/>
      <c r="Q648" s="29"/>
    </row>
    <row r="649" ht="15.75" customHeight="1">
      <c r="H649" s="9"/>
      <c r="K649" s="30"/>
      <c r="L649" s="30"/>
      <c r="M649" s="30"/>
      <c r="N649" s="30"/>
      <c r="O649" s="21"/>
      <c r="P649" s="21"/>
      <c r="Q649" s="29"/>
    </row>
    <row r="650" ht="15.75" customHeight="1">
      <c r="H650" s="9"/>
      <c r="K650" s="30"/>
      <c r="L650" s="30"/>
      <c r="M650" s="30"/>
      <c r="N650" s="30"/>
      <c r="O650" s="21"/>
      <c r="P650" s="21"/>
      <c r="Q650" s="29"/>
    </row>
    <row r="651" ht="15.75" customHeight="1">
      <c r="H651" s="9"/>
      <c r="K651" s="30"/>
      <c r="L651" s="30"/>
      <c r="M651" s="30"/>
      <c r="N651" s="30"/>
      <c r="O651" s="21"/>
      <c r="P651" s="21"/>
      <c r="Q651" s="29"/>
    </row>
    <row r="652" ht="15.75" customHeight="1">
      <c r="H652" s="9"/>
      <c r="K652" s="30"/>
      <c r="L652" s="30"/>
      <c r="M652" s="30"/>
      <c r="N652" s="30"/>
      <c r="O652" s="21"/>
      <c r="P652" s="21"/>
      <c r="Q652" s="29"/>
    </row>
    <row r="653" ht="15.75" customHeight="1">
      <c r="H653" s="9"/>
      <c r="K653" s="30"/>
      <c r="L653" s="30"/>
      <c r="M653" s="30"/>
      <c r="N653" s="30"/>
      <c r="O653" s="21"/>
      <c r="P653" s="21"/>
      <c r="Q653" s="29"/>
    </row>
    <row r="654" ht="15.75" customHeight="1">
      <c r="H654" s="9"/>
      <c r="K654" s="30"/>
      <c r="L654" s="30"/>
      <c r="M654" s="30"/>
      <c r="N654" s="30"/>
      <c r="O654" s="21"/>
      <c r="P654" s="21"/>
      <c r="Q654" s="29"/>
    </row>
    <row r="655" ht="15.75" customHeight="1">
      <c r="H655" s="9"/>
      <c r="K655" s="30"/>
      <c r="L655" s="30"/>
      <c r="M655" s="30"/>
      <c r="N655" s="30"/>
      <c r="O655" s="21"/>
      <c r="P655" s="21"/>
      <c r="Q655" s="29"/>
    </row>
    <row r="656" ht="15.75" customHeight="1">
      <c r="H656" s="9"/>
      <c r="K656" s="30"/>
      <c r="L656" s="30"/>
      <c r="M656" s="30"/>
      <c r="N656" s="30"/>
      <c r="O656" s="21"/>
      <c r="P656" s="21"/>
      <c r="Q656" s="29"/>
    </row>
    <row r="657" ht="15.75" customHeight="1">
      <c r="H657" s="9"/>
      <c r="K657" s="30"/>
      <c r="L657" s="30"/>
      <c r="M657" s="30"/>
      <c r="N657" s="30"/>
      <c r="O657" s="21"/>
      <c r="P657" s="21"/>
      <c r="Q657" s="29"/>
    </row>
    <row r="658" ht="15.75" customHeight="1">
      <c r="H658" s="9"/>
      <c r="K658" s="30"/>
      <c r="L658" s="30"/>
      <c r="M658" s="30"/>
      <c r="N658" s="30"/>
      <c r="O658" s="21"/>
      <c r="P658" s="21"/>
      <c r="Q658" s="29"/>
    </row>
    <row r="659" ht="15.75" customHeight="1">
      <c r="H659" s="9"/>
      <c r="K659" s="30"/>
      <c r="L659" s="30"/>
      <c r="M659" s="30"/>
      <c r="N659" s="30"/>
      <c r="O659" s="21"/>
      <c r="P659" s="21"/>
      <c r="Q659" s="29"/>
    </row>
    <row r="660" ht="15.75" customHeight="1">
      <c r="H660" s="9"/>
      <c r="K660" s="30"/>
      <c r="L660" s="30"/>
      <c r="M660" s="30"/>
      <c r="N660" s="30"/>
      <c r="O660" s="21"/>
      <c r="P660" s="21"/>
      <c r="Q660" s="29"/>
    </row>
    <row r="661" ht="15.75" customHeight="1">
      <c r="H661" s="9"/>
      <c r="K661" s="30"/>
      <c r="L661" s="30"/>
      <c r="M661" s="30"/>
      <c r="N661" s="30"/>
      <c r="O661" s="21"/>
      <c r="P661" s="21"/>
      <c r="Q661" s="29"/>
    </row>
    <row r="662" ht="15.75" customHeight="1">
      <c r="H662" s="9"/>
      <c r="K662" s="30"/>
      <c r="L662" s="30"/>
      <c r="M662" s="30"/>
      <c r="N662" s="30"/>
      <c r="O662" s="21"/>
      <c r="P662" s="21"/>
      <c r="Q662" s="29"/>
    </row>
    <row r="663" ht="15.75" customHeight="1">
      <c r="H663" s="9"/>
      <c r="K663" s="30"/>
      <c r="L663" s="30"/>
      <c r="M663" s="30"/>
      <c r="N663" s="30"/>
      <c r="O663" s="21"/>
      <c r="P663" s="21"/>
      <c r="Q663" s="29"/>
    </row>
    <row r="664" ht="15.75" customHeight="1">
      <c r="H664" s="9"/>
      <c r="K664" s="30"/>
      <c r="L664" s="30"/>
      <c r="M664" s="30"/>
      <c r="N664" s="30"/>
      <c r="O664" s="21"/>
      <c r="P664" s="21"/>
      <c r="Q664" s="29"/>
    </row>
    <row r="665" ht="15.75" customHeight="1">
      <c r="H665" s="9"/>
      <c r="K665" s="30"/>
      <c r="L665" s="30"/>
      <c r="M665" s="30"/>
      <c r="N665" s="30"/>
      <c r="O665" s="21"/>
      <c r="P665" s="21"/>
      <c r="Q665" s="29"/>
    </row>
    <row r="666" ht="15.75" customHeight="1">
      <c r="H666" s="9"/>
      <c r="K666" s="30"/>
      <c r="L666" s="30"/>
      <c r="M666" s="30"/>
      <c r="N666" s="30"/>
      <c r="O666" s="21"/>
      <c r="P666" s="21"/>
      <c r="Q666" s="29"/>
    </row>
    <row r="667" ht="15.75" customHeight="1">
      <c r="H667" s="9"/>
      <c r="K667" s="30"/>
      <c r="L667" s="30"/>
      <c r="M667" s="30"/>
      <c r="N667" s="30"/>
      <c r="O667" s="21"/>
      <c r="P667" s="21"/>
      <c r="Q667" s="29"/>
    </row>
    <row r="668" ht="15.75" customHeight="1">
      <c r="H668" s="9"/>
      <c r="K668" s="30"/>
      <c r="L668" s="30"/>
      <c r="M668" s="30"/>
      <c r="N668" s="30"/>
      <c r="O668" s="21"/>
      <c r="P668" s="21"/>
      <c r="Q668" s="29"/>
    </row>
    <row r="669" ht="15.75" customHeight="1">
      <c r="H669" s="9"/>
      <c r="K669" s="30"/>
      <c r="L669" s="30"/>
      <c r="M669" s="30"/>
      <c r="N669" s="30"/>
      <c r="O669" s="21"/>
      <c r="P669" s="21"/>
      <c r="Q669" s="29"/>
    </row>
    <row r="670" ht="15.75" customHeight="1">
      <c r="H670" s="9"/>
      <c r="K670" s="30"/>
      <c r="L670" s="30"/>
      <c r="M670" s="30"/>
      <c r="N670" s="30"/>
      <c r="O670" s="21"/>
      <c r="P670" s="21"/>
      <c r="Q670" s="29"/>
    </row>
    <row r="671" ht="15.75" customHeight="1">
      <c r="H671" s="9"/>
      <c r="K671" s="30"/>
      <c r="L671" s="30"/>
      <c r="M671" s="30"/>
      <c r="N671" s="30"/>
      <c r="O671" s="21"/>
      <c r="P671" s="21"/>
      <c r="Q671" s="29"/>
    </row>
    <row r="672" ht="15.75" customHeight="1">
      <c r="H672" s="9"/>
      <c r="K672" s="30"/>
      <c r="L672" s="30"/>
      <c r="M672" s="30"/>
      <c r="N672" s="30"/>
      <c r="O672" s="21"/>
      <c r="P672" s="21"/>
      <c r="Q672" s="29"/>
    </row>
    <row r="673" ht="15.75" customHeight="1">
      <c r="H673" s="9"/>
      <c r="K673" s="30"/>
      <c r="L673" s="30"/>
      <c r="M673" s="30"/>
      <c r="N673" s="30"/>
      <c r="O673" s="21"/>
      <c r="P673" s="21"/>
      <c r="Q673" s="29"/>
    </row>
    <row r="674" ht="15.75" customHeight="1">
      <c r="H674" s="9"/>
      <c r="K674" s="30"/>
      <c r="L674" s="30"/>
      <c r="M674" s="30"/>
      <c r="N674" s="30"/>
      <c r="O674" s="21"/>
      <c r="P674" s="21"/>
      <c r="Q674" s="29"/>
    </row>
    <row r="675" ht="15.75" customHeight="1">
      <c r="H675" s="9"/>
      <c r="K675" s="30"/>
      <c r="L675" s="30"/>
      <c r="M675" s="30"/>
      <c r="N675" s="30"/>
      <c r="O675" s="21"/>
      <c r="P675" s="21"/>
      <c r="Q675" s="29"/>
    </row>
    <row r="676" ht="15.75" customHeight="1">
      <c r="H676" s="9"/>
      <c r="K676" s="30"/>
      <c r="L676" s="30"/>
      <c r="M676" s="30"/>
      <c r="N676" s="30"/>
      <c r="O676" s="21"/>
      <c r="P676" s="21"/>
      <c r="Q676" s="29"/>
    </row>
    <row r="677" ht="15.75" customHeight="1">
      <c r="H677" s="9"/>
      <c r="K677" s="30"/>
      <c r="L677" s="30"/>
      <c r="M677" s="30"/>
      <c r="N677" s="30"/>
      <c r="O677" s="21"/>
      <c r="P677" s="21"/>
      <c r="Q677" s="29"/>
    </row>
    <row r="678" ht="15.75" customHeight="1">
      <c r="H678" s="9"/>
      <c r="K678" s="30"/>
      <c r="L678" s="30"/>
      <c r="M678" s="30"/>
      <c r="N678" s="30"/>
      <c r="O678" s="21"/>
      <c r="P678" s="21"/>
      <c r="Q678" s="29"/>
    </row>
    <row r="679" ht="15.75" customHeight="1">
      <c r="H679" s="9"/>
      <c r="K679" s="30"/>
      <c r="L679" s="30"/>
      <c r="M679" s="30"/>
      <c r="N679" s="30"/>
      <c r="O679" s="21"/>
      <c r="P679" s="21"/>
      <c r="Q679" s="29"/>
    </row>
    <row r="680" ht="15.75" customHeight="1">
      <c r="H680" s="9"/>
      <c r="K680" s="30"/>
      <c r="L680" s="30"/>
      <c r="M680" s="30"/>
      <c r="N680" s="30"/>
      <c r="O680" s="21"/>
      <c r="P680" s="21"/>
      <c r="Q680" s="29"/>
    </row>
    <row r="681" ht="15.75" customHeight="1">
      <c r="H681" s="9"/>
      <c r="K681" s="30"/>
      <c r="L681" s="30"/>
      <c r="M681" s="30"/>
      <c r="N681" s="30"/>
      <c r="O681" s="21"/>
      <c r="P681" s="21"/>
      <c r="Q681" s="29"/>
    </row>
    <row r="682" ht="15.75" customHeight="1">
      <c r="H682" s="9"/>
      <c r="K682" s="30"/>
      <c r="L682" s="30"/>
      <c r="M682" s="30"/>
      <c r="N682" s="30"/>
      <c r="O682" s="21"/>
      <c r="P682" s="21"/>
      <c r="Q682" s="29"/>
    </row>
    <row r="683" ht="15.75" customHeight="1">
      <c r="H683" s="9"/>
      <c r="K683" s="30"/>
      <c r="L683" s="30"/>
      <c r="M683" s="30"/>
      <c r="N683" s="30"/>
      <c r="O683" s="21"/>
      <c r="P683" s="21"/>
      <c r="Q683" s="29"/>
    </row>
    <row r="684" ht="15.75" customHeight="1">
      <c r="H684" s="9"/>
      <c r="K684" s="30"/>
      <c r="L684" s="30"/>
      <c r="M684" s="30"/>
      <c r="N684" s="30"/>
      <c r="O684" s="21"/>
      <c r="P684" s="21"/>
      <c r="Q684" s="29"/>
    </row>
    <row r="685" ht="15.75" customHeight="1">
      <c r="H685" s="9"/>
      <c r="K685" s="30"/>
      <c r="L685" s="30"/>
      <c r="M685" s="30"/>
      <c r="N685" s="30"/>
      <c r="O685" s="21"/>
      <c r="P685" s="21"/>
      <c r="Q685" s="29"/>
    </row>
    <row r="686" ht="15.75" customHeight="1">
      <c r="H686" s="9"/>
      <c r="K686" s="30"/>
      <c r="L686" s="30"/>
      <c r="M686" s="30"/>
      <c r="N686" s="30"/>
      <c r="O686" s="21"/>
      <c r="P686" s="21"/>
      <c r="Q686" s="29"/>
    </row>
    <row r="687" ht="15.75" customHeight="1">
      <c r="H687" s="9"/>
      <c r="K687" s="30"/>
      <c r="L687" s="30"/>
      <c r="M687" s="30"/>
      <c r="N687" s="30"/>
      <c r="O687" s="21"/>
      <c r="P687" s="21"/>
      <c r="Q687" s="29"/>
    </row>
    <row r="688" ht="15.75" customHeight="1">
      <c r="H688" s="9"/>
      <c r="K688" s="30"/>
      <c r="L688" s="30"/>
      <c r="M688" s="30"/>
      <c r="N688" s="30"/>
      <c r="O688" s="21"/>
      <c r="P688" s="21"/>
      <c r="Q688" s="29"/>
    </row>
    <row r="689" ht="15.75" customHeight="1">
      <c r="H689" s="9"/>
      <c r="K689" s="30"/>
      <c r="L689" s="30"/>
      <c r="M689" s="30"/>
      <c r="N689" s="30"/>
      <c r="O689" s="21"/>
      <c r="P689" s="21"/>
      <c r="Q689" s="29"/>
    </row>
    <row r="690" ht="15.75" customHeight="1">
      <c r="H690" s="9"/>
      <c r="K690" s="30"/>
      <c r="L690" s="30"/>
      <c r="M690" s="30"/>
      <c r="N690" s="30"/>
      <c r="O690" s="21"/>
      <c r="P690" s="21"/>
      <c r="Q690" s="29"/>
    </row>
    <row r="691" ht="15.75" customHeight="1">
      <c r="H691" s="9"/>
      <c r="K691" s="30"/>
      <c r="L691" s="30"/>
      <c r="M691" s="30"/>
      <c r="N691" s="30"/>
      <c r="O691" s="21"/>
      <c r="P691" s="21"/>
      <c r="Q691" s="29"/>
    </row>
    <row r="692" ht="15.75" customHeight="1">
      <c r="H692" s="9"/>
      <c r="K692" s="30"/>
      <c r="L692" s="30"/>
      <c r="M692" s="30"/>
      <c r="N692" s="30"/>
      <c r="O692" s="21"/>
      <c r="P692" s="21"/>
      <c r="Q692" s="29"/>
    </row>
    <row r="693" ht="15.75" customHeight="1">
      <c r="H693" s="9"/>
      <c r="K693" s="30"/>
      <c r="L693" s="30"/>
      <c r="M693" s="30"/>
      <c r="N693" s="30"/>
      <c r="O693" s="21"/>
      <c r="P693" s="21"/>
      <c r="Q693" s="29"/>
    </row>
    <row r="694" ht="15.75" customHeight="1">
      <c r="H694" s="9"/>
      <c r="K694" s="30"/>
      <c r="L694" s="30"/>
      <c r="M694" s="30"/>
      <c r="N694" s="30"/>
      <c r="O694" s="21"/>
      <c r="P694" s="21"/>
      <c r="Q694" s="29"/>
    </row>
    <row r="695" ht="15.75" customHeight="1">
      <c r="H695" s="9"/>
      <c r="K695" s="30"/>
      <c r="L695" s="30"/>
      <c r="M695" s="30"/>
      <c r="N695" s="30"/>
      <c r="O695" s="21"/>
      <c r="P695" s="21"/>
      <c r="Q695" s="29"/>
    </row>
    <row r="696" ht="15.75" customHeight="1">
      <c r="H696" s="9"/>
      <c r="K696" s="30"/>
      <c r="L696" s="30"/>
      <c r="M696" s="30"/>
      <c r="N696" s="30"/>
      <c r="O696" s="21"/>
      <c r="P696" s="21"/>
      <c r="Q696" s="29"/>
    </row>
    <row r="697" ht="15.75" customHeight="1">
      <c r="H697" s="9"/>
      <c r="K697" s="30"/>
      <c r="L697" s="30"/>
      <c r="M697" s="30"/>
      <c r="N697" s="30"/>
      <c r="O697" s="21"/>
      <c r="P697" s="21"/>
      <c r="Q697" s="29"/>
    </row>
    <row r="698" ht="15.75" customHeight="1">
      <c r="H698" s="9"/>
      <c r="K698" s="30"/>
      <c r="L698" s="30"/>
      <c r="M698" s="30"/>
      <c r="N698" s="30"/>
      <c r="O698" s="21"/>
      <c r="P698" s="21"/>
      <c r="Q698" s="29"/>
    </row>
    <row r="699" ht="15.75" customHeight="1">
      <c r="H699" s="9"/>
      <c r="K699" s="30"/>
      <c r="L699" s="30"/>
      <c r="M699" s="30"/>
      <c r="N699" s="30"/>
      <c r="O699" s="21"/>
      <c r="P699" s="21"/>
      <c r="Q699" s="29"/>
    </row>
    <row r="700" ht="15.75" customHeight="1">
      <c r="H700" s="9"/>
      <c r="K700" s="30"/>
      <c r="L700" s="30"/>
      <c r="M700" s="30"/>
      <c r="N700" s="30"/>
      <c r="O700" s="21"/>
      <c r="P700" s="21"/>
      <c r="Q700" s="29"/>
    </row>
    <row r="701" ht="15.75" customHeight="1">
      <c r="H701" s="9"/>
      <c r="K701" s="30"/>
      <c r="L701" s="30"/>
      <c r="M701" s="30"/>
      <c r="N701" s="30"/>
      <c r="O701" s="21"/>
      <c r="P701" s="21"/>
      <c r="Q701" s="29"/>
    </row>
    <row r="702" ht="15.75" customHeight="1">
      <c r="H702" s="9"/>
      <c r="K702" s="30"/>
      <c r="L702" s="30"/>
      <c r="M702" s="30"/>
      <c r="N702" s="30"/>
      <c r="O702" s="21"/>
      <c r="P702" s="21"/>
      <c r="Q702" s="29"/>
    </row>
    <row r="703" ht="15.75" customHeight="1">
      <c r="H703" s="9"/>
      <c r="K703" s="30"/>
      <c r="L703" s="30"/>
      <c r="M703" s="30"/>
      <c r="N703" s="30"/>
      <c r="O703" s="21"/>
      <c r="P703" s="21"/>
      <c r="Q703" s="29"/>
    </row>
    <row r="704" ht="15.75" customHeight="1">
      <c r="H704" s="9"/>
      <c r="K704" s="30"/>
      <c r="L704" s="30"/>
      <c r="M704" s="30"/>
      <c r="N704" s="30"/>
      <c r="O704" s="21"/>
      <c r="P704" s="21"/>
      <c r="Q704" s="29"/>
    </row>
    <row r="705" ht="15.75" customHeight="1">
      <c r="H705" s="9"/>
      <c r="K705" s="30"/>
      <c r="L705" s="30"/>
      <c r="M705" s="30"/>
      <c r="N705" s="30"/>
      <c r="O705" s="21"/>
      <c r="P705" s="21"/>
      <c r="Q705" s="29"/>
    </row>
    <row r="706" ht="15.75" customHeight="1">
      <c r="H706" s="9"/>
      <c r="K706" s="30"/>
      <c r="L706" s="30"/>
      <c r="M706" s="30"/>
      <c r="N706" s="30"/>
      <c r="O706" s="21"/>
      <c r="P706" s="21"/>
      <c r="Q706" s="29"/>
    </row>
    <row r="707" ht="15.75" customHeight="1">
      <c r="H707" s="9"/>
      <c r="K707" s="30"/>
      <c r="L707" s="30"/>
      <c r="M707" s="30"/>
      <c r="N707" s="30"/>
      <c r="O707" s="21"/>
      <c r="P707" s="21"/>
      <c r="Q707" s="29"/>
    </row>
    <row r="708" ht="15.75" customHeight="1">
      <c r="H708" s="9"/>
      <c r="K708" s="30"/>
      <c r="L708" s="30"/>
      <c r="M708" s="30"/>
      <c r="N708" s="30"/>
      <c r="O708" s="21"/>
      <c r="P708" s="21"/>
      <c r="Q708" s="29"/>
    </row>
    <row r="709" ht="15.75" customHeight="1">
      <c r="H709" s="9"/>
      <c r="K709" s="30"/>
      <c r="L709" s="30"/>
      <c r="M709" s="30"/>
      <c r="N709" s="30"/>
      <c r="O709" s="21"/>
      <c r="P709" s="21"/>
      <c r="Q709" s="29"/>
    </row>
    <row r="710" ht="15.75" customHeight="1">
      <c r="H710" s="9"/>
      <c r="K710" s="30"/>
      <c r="L710" s="30"/>
      <c r="M710" s="30"/>
      <c r="N710" s="30"/>
      <c r="O710" s="21"/>
      <c r="P710" s="21"/>
      <c r="Q710" s="29"/>
    </row>
    <row r="711" ht="15.75" customHeight="1">
      <c r="H711" s="9"/>
      <c r="K711" s="30"/>
      <c r="L711" s="30"/>
      <c r="M711" s="30"/>
      <c r="N711" s="30"/>
      <c r="O711" s="21"/>
      <c r="P711" s="21"/>
      <c r="Q711" s="29"/>
    </row>
    <row r="712" ht="15.75" customHeight="1">
      <c r="H712" s="9"/>
      <c r="K712" s="30"/>
      <c r="L712" s="30"/>
      <c r="M712" s="30"/>
      <c r="N712" s="30"/>
      <c r="O712" s="21"/>
      <c r="P712" s="21"/>
      <c r="Q712" s="29"/>
    </row>
    <row r="713" ht="15.75" customHeight="1">
      <c r="H713" s="9"/>
      <c r="K713" s="30"/>
      <c r="L713" s="30"/>
      <c r="M713" s="30"/>
      <c r="N713" s="30"/>
      <c r="O713" s="21"/>
      <c r="P713" s="21"/>
      <c r="Q713" s="29"/>
    </row>
    <row r="714" ht="15.75" customHeight="1">
      <c r="H714" s="9"/>
      <c r="K714" s="30"/>
      <c r="L714" s="30"/>
      <c r="M714" s="30"/>
      <c r="N714" s="30"/>
      <c r="O714" s="21"/>
      <c r="P714" s="21"/>
      <c r="Q714" s="29"/>
    </row>
    <row r="715" ht="15.75" customHeight="1">
      <c r="H715" s="9"/>
      <c r="K715" s="30"/>
      <c r="L715" s="30"/>
      <c r="M715" s="30"/>
      <c r="N715" s="30"/>
      <c r="O715" s="21"/>
      <c r="P715" s="21"/>
      <c r="Q715" s="29"/>
    </row>
    <row r="716" ht="15.75" customHeight="1">
      <c r="H716" s="9"/>
      <c r="K716" s="30"/>
      <c r="L716" s="30"/>
      <c r="M716" s="30"/>
      <c r="N716" s="30"/>
      <c r="O716" s="21"/>
      <c r="P716" s="21"/>
      <c r="Q716" s="29"/>
    </row>
    <row r="717" ht="15.75" customHeight="1">
      <c r="H717" s="9"/>
      <c r="K717" s="30"/>
      <c r="L717" s="30"/>
      <c r="M717" s="30"/>
      <c r="N717" s="30"/>
      <c r="O717" s="21"/>
      <c r="P717" s="21"/>
      <c r="Q717" s="29"/>
    </row>
    <row r="718" ht="15.75" customHeight="1">
      <c r="H718" s="9"/>
      <c r="K718" s="30"/>
      <c r="L718" s="30"/>
      <c r="M718" s="30"/>
      <c r="N718" s="30"/>
      <c r="O718" s="21"/>
      <c r="P718" s="21"/>
      <c r="Q718" s="29"/>
    </row>
    <row r="719" ht="15.75" customHeight="1">
      <c r="H719" s="9"/>
      <c r="K719" s="30"/>
      <c r="L719" s="30"/>
      <c r="M719" s="30"/>
      <c r="N719" s="30"/>
      <c r="O719" s="21"/>
      <c r="P719" s="21"/>
      <c r="Q719" s="29"/>
    </row>
    <row r="720" ht="15.75" customHeight="1">
      <c r="H720" s="9"/>
      <c r="K720" s="30"/>
      <c r="L720" s="30"/>
      <c r="M720" s="30"/>
      <c r="N720" s="30"/>
      <c r="O720" s="21"/>
      <c r="P720" s="21"/>
      <c r="Q720" s="29"/>
    </row>
    <row r="721" ht="15.75" customHeight="1">
      <c r="H721" s="9"/>
      <c r="K721" s="30"/>
      <c r="L721" s="30"/>
      <c r="M721" s="30"/>
      <c r="N721" s="30"/>
      <c r="O721" s="21"/>
      <c r="P721" s="21"/>
      <c r="Q721" s="29"/>
    </row>
    <row r="722" ht="15.75" customHeight="1">
      <c r="H722" s="9"/>
      <c r="K722" s="30"/>
      <c r="L722" s="30"/>
      <c r="M722" s="30"/>
      <c r="N722" s="30"/>
      <c r="O722" s="21"/>
      <c r="P722" s="21"/>
      <c r="Q722" s="29"/>
    </row>
    <row r="723" ht="15.75" customHeight="1">
      <c r="H723" s="9"/>
      <c r="K723" s="30"/>
      <c r="L723" s="30"/>
      <c r="M723" s="30"/>
      <c r="N723" s="30"/>
      <c r="O723" s="21"/>
      <c r="P723" s="21"/>
      <c r="Q723" s="29"/>
    </row>
    <row r="724" ht="15.75" customHeight="1">
      <c r="H724" s="9"/>
      <c r="K724" s="30"/>
      <c r="L724" s="30"/>
      <c r="M724" s="30"/>
      <c r="N724" s="30"/>
      <c r="O724" s="21"/>
      <c r="P724" s="21"/>
      <c r="Q724" s="29"/>
    </row>
    <row r="725" ht="15.75" customHeight="1">
      <c r="H725" s="9"/>
      <c r="K725" s="30"/>
      <c r="L725" s="30"/>
      <c r="M725" s="30"/>
      <c r="N725" s="30"/>
      <c r="O725" s="21"/>
      <c r="P725" s="21"/>
      <c r="Q725" s="29"/>
    </row>
    <row r="726" ht="15.75" customHeight="1">
      <c r="H726" s="9"/>
      <c r="K726" s="30"/>
      <c r="L726" s="30"/>
      <c r="M726" s="30"/>
      <c r="N726" s="30"/>
      <c r="O726" s="21"/>
      <c r="P726" s="21"/>
      <c r="Q726" s="29"/>
    </row>
    <row r="727" ht="15.75" customHeight="1">
      <c r="H727" s="9"/>
      <c r="K727" s="30"/>
      <c r="L727" s="30"/>
      <c r="M727" s="30"/>
      <c r="N727" s="30"/>
      <c r="O727" s="21"/>
      <c r="P727" s="21"/>
      <c r="Q727" s="29"/>
    </row>
    <row r="728" ht="15.75" customHeight="1">
      <c r="H728" s="9"/>
      <c r="K728" s="30"/>
      <c r="L728" s="30"/>
      <c r="M728" s="30"/>
      <c r="N728" s="30"/>
      <c r="O728" s="21"/>
      <c r="P728" s="21"/>
      <c r="Q728" s="29"/>
    </row>
    <row r="729" ht="15.75" customHeight="1">
      <c r="H729" s="9"/>
      <c r="K729" s="30"/>
      <c r="L729" s="30"/>
      <c r="M729" s="30"/>
      <c r="N729" s="30"/>
      <c r="O729" s="21"/>
      <c r="P729" s="21"/>
      <c r="Q729" s="29"/>
    </row>
    <row r="730" ht="15.75" customHeight="1">
      <c r="H730" s="9"/>
      <c r="K730" s="30"/>
      <c r="L730" s="30"/>
      <c r="M730" s="30"/>
      <c r="N730" s="30"/>
      <c r="O730" s="21"/>
      <c r="P730" s="21"/>
      <c r="Q730" s="29"/>
    </row>
    <row r="731" ht="15.75" customHeight="1">
      <c r="H731" s="9"/>
      <c r="K731" s="30"/>
      <c r="L731" s="30"/>
      <c r="M731" s="30"/>
      <c r="N731" s="30"/>
      <c r="O731" s="21"/>
      <c r="P731" s="21"/>
      <c r="Q731" s="29"/>
    </row>
    <row r="732" ht="15.75" customHeight="1">
      <c r="H732" s="9"/>
      <c r="K732" s="30"/>
      <c r="L732" s="30"/>
      <c r="M732" s="30"/>
      <c r="N732" s="30"/>
      <c r="O732" s="21"/>
      <c r="P732" s="21"/>
      <c r="Q732" s="29"/>
    </row>
    <row r="733" ht="15.75" customHeight="1">
      <c r="H733" s="9"/>
      <c r="K733" s="30"/>
      <c r="L733" s="30"/>
      <c r="M733" s="30"/>
      <c r="N733" s="30"/>
      <c r="O733" s="21"/>
      <c r="P733" s="21"/>
      <c r="Q733" s="29"/>
    </row>
    <row r="734" ht="15.75" customHeight="1">
      <c r="H734" s="9"/>
      <c r="K734" s="30"/>
      <c r="L734" s="30"/>
      <c r="M734" s="30"/>
      <c r="N734" s="30"/>
      <c r="O734" s="21"/>
      <c r="P734" s="21"/>
      <c r="Q734" s="29"/>
    </row>
    <row r="735" ht="15.75" customHeight="1">
      <c r="H735" s="9"/>
      <c r="K735" s="30"/>
      <c r="L735" s="30"/>
      <c r="M735" s="30"/>
      <c r="N735" s="30"/>
      <c r="O735" s="21"/>
      <c r="P735" s="21"/>
      <c r="Q735" s="29"/>
    </row>
    <row r="736" ht="15.75" customHeight="1">
      <c r="H736" s="9"/>
      <c r="K736" s="30"/>
      <c r="L736" s="30"/>
      <c r="M736" s="30"/>
      <c r="N736" s="30"/>
      <c r="O736" s="21"/>
      <c r="P736" s="21"/>
      <c r="Q736" s="29"/>
    </row>
    <row r="737" ht="15.75" customHeight="1">
      <c r="H737" s="9"/>
      <c r="K737" s="30"/>
      <c r="L737" s="30"/>
      <c r="M737" s="30"/>
      <c r="N737" s="30"/>
      <c r="O737" s="21"/>
      <c r="P737" s="21"/>
      <c r="Q737" s="29"/>
    </row>
    <row r="738" ht="15.75" customHeight="1">
      <c r="H738" s="9"/>
      <c r="K738" s="30"/>
      <c r="L738" s="30"/>
      <c r="M738" s="30"/>
      <c r="N738" s="30"/>
      <c r="O738" s="21"/>
      <c r="P738" s="21"/>
      <c r="Q738" s="29"/>
    </row>
    <row r="739" ht="15.75" customHeight="1">
      <c r="H739" s="9"/>
      <c r="K739" s="30"/>
      <c r="L739" s="30"/>
      <c r="M739" s="30"/>
      <c r="N739" s="30"/>
      <c r="O739" s="21"/>
      <c r="P739" s="21"/>
      <c r="Q739" s="29"/>
    </row>
    <row r="740" ht="15.75" customHeight="1">
      <c r="H740" s="9"/>
      <c r="K740" s="30"/>
      <c r="L740" s="30"/>
      <c r="M740" s="30"/>
      <c r="N740" s="30"/>
      <c r="O740" s="21"/>
      <c r="P740" s="21"/>
      <c r="Q740" s="29"/>
    </row>
    <row r="741" ht="15.75" customHeight="1">
      <c r="H741" s="9"/>
      <c r="K741" s="30"/>
      <c r="L741" s="30"/>
      <c r="M741" s="30"/>
      <c r="N741" s="30"/>
      <c r="O741" s="21"/>
      <c r="P741" s="21"/>
      <c r="Q741" s="29"/>
    </row>
    <row r="742" ht="15.75" customHeight="1">
      <c r="H742" s="9"/>
      <c r="K742" s="30"/>
      <c r="L742" s="30"/>
      <c r="M742" s="30"/>
      <c r="N742" s="30"/>
      <c r="O742" s="21"/>
      <c r="P742" s="21"/>
      <c r="Q742" s="29"/>
    </row>
    <row r="743" ht="15.75" customHeight="1">
      <c r="H743" s="9"/>
      <c r="K743" s="30"/>
      <c r="L743" s="30"/>
      <c r="M743" s="30"/>
      <c r="N743" s="30"/>
      <c r="O743" s="21"/>
      <c r="P743" s="21"/>
      <c r="Q743" s="29"/>
    </row>
    <row r="744" ht="15.75" customHeight="1">
      <c r="H744" s="9"/>
      <c r="K744" s="30"/>
      <c r="L744" s="30"/>
      <c r="M744" s="30"/>
      <c r="N744" s="30"/>
      <c r="O744" s="21"/>
      <c r="P744" s="21"/>
      <c r="Q744" s="29"/>
    </row>
    <row r="745" ht="15.75" customHeight="1">
      <c r="H745" s="9"/>
      <c r="K745" s="30"/>
      <c r="L745" s="30"/>
      <c r="M745" s="30"/>
      <c r="N745" s="30"/>
      <c r="O745" s="21"/>
      <c r="P745" s="21"/>
      <c r="Q745" s="29"/>
    </row>
    <row r="746" ht="15.75" customHeight="1">
      <c r="H746" s="9"/>
      <c r="K746" s="30"/>
      <c r="L746" s="30"/>
      <c r="M746" s="30"/>
      <c r="N746" s="30"/>
      <c r="O746" s="21"/>
      <c r="P746" s="21"/>
      <c r="Q746" s="29"/>
    </row>
    <row r="747" ht="15.75" customHeight="1">
      <c r="H747" s="9"/>
      <c r="K747" s="30"/>
      <c r="L747" s="30"/>
      <c r="M747" s="30"/>
      <c r="N747" s="30"/>
      <c r="O747" s="21"/>
      <c r="P747" s="21"/>
      <c r="Q747" s="29"/>
    </row>
    <row r="748" ht="15.75" customHeight="1">
      <c r="H748" s="9"/>
      <c r="K748" s="30"/>
      <c r="L748" s="30"/>
      <c r="M748" s="30"/>
      <c r="N748" s="30"/>
      <c r="O748" s="21"/>
      <c r="P748" s="21"/>
      <c r="Q748" s="29"/>
    </row>
    <row r="749" ht="15.75" customHeight="1">
      <c r="H749" s="9"/>
      <c r="K749" s="30"/>
      <c r="L749" s="30"/>
      <c r="M749" s="30"/>
      <c r="N749" s="30"/>
      <c r="O749" s="21"/>
      <c r="P749" s="21"/>
      <c r="Q749" s="29"/>
    </row>
    <row r="750" ht="15.75" customHeight="1">
      <c r="H750" s="9"/>
      <c r="K750" s="30"/>
      <c r="L750" s="30"/>
      <c r="M750" s="30"/>
      <c r="N750" s="30"/>
      <c r="O750" s="21"/>
      <c r="P750" s="21"/>
      <c r="Q750" s="29"/>
    </row>
    <row r="751" ht="15.75" customHeight="1">
      <c r="H751" s="9"/>
      <c r="K751" s="30"/>
      <c r="L751" s="30"/>
      <c r="M751" s="30"/>
      <c r="N751" s="30"/>
      <c r="O751" s="21"/>
      <c r="P751" s="21"/>
      <c r="Q751" s="29"/>
    </row>
    <row r="752" ht="15.75" customHeight="1">
      <c r="H752" s="9"/>
      <c r="K752" s="30"/>
      <c r="L752" s="30"/>
      <c r="M752" s="30"/>
      <c r="N752" s="30"/>
      <c r="O752" s="21"/>
      <c r="P752" s="21"/>
      <c r="Q752" s="29"/>
    </row>
    <row r="753" ht="15.75" customHeight="1">
      <c r="H753" s="9"/>
      <c r="K753" s="30"/>
      <c r="L753" s="30"/>
      <c r="M753" s="30"/>
      <c r="N753" s="30"/>
      <c r="O753" s="21"/>
      <c r="P753" s="21"/>
      <c r="Q753" s="29"/>
    </row>
    <row r="754" ht="15.75" customHeight="1">
      <c r="H754" s="9"/>
      <c r="K754" s="30"/>
      <c r="L754" s="30"/>
      <c r="M754" s="30"/>
      <c r="N754" s="30"/>
      <c r="O754" s="21"/>
      <c r="P754" s="21"/>
      <c r="Q754" s="29"/>
    </row>
    <row r="755" ht="15.75" customHeight="1">
      <c r="H755" s="9"/>
      <c r="K755" s="30"/>
      <c r="L755" s="30"/>
      <c r="M755" s="30"/>
      <c r="N755" s="30"/>
      <c r="O755" s="21"/>
      <c r="P755" s="21"/>
      <c r="Q755" s="29"/>
    </row>
    <row r="756" ht="15.75" customHeight="1">
      <c r="H756" s="9"/>
      <c r="K756" s="30"/>
      <c r="L756" s="30"/>
      <c r="M756" s="30"/>
      <c r="N756" s="30"/>
      <c r="O756" s="21"/>
      <c r="P756" s="21"/>
      <c r="Q756" s="29"/>
    </row>
    <row r="757" ht="15.75" customHeight="1">
      <c r="H757" s="9"/>
      <c r="K757" s="30"/>
      <c r="L757" s="30"/>
      <c r="M757" s="30"/>
      <c r="N757" s="30"/>
      <c r="O757" s="21"/>
      <c r="P757" s="21"/>
      <c r="Q757" s="29"/>
    </row>
    <row r="758" ht="15.75" customHeight="1">
      <c r="H758" s="9"/>
      <c r="K758" s="30"/>
      <c r="L758" s="30"/>
      <c r="M758" s="30"/>
      <c r="N758" s="30"/>
      <c r="O758" s="21"/>
      <c r="P758" s="21"/>
      <c r="Q758" s="29"/>
    </row>
    <row r="759" ht="15.75" customHeight="1">
      <c r="H759" s="9"/>
      <c r="K759" s="30"/>
      <c r="L759" s="30"/>
      <c r="M759" s="30"/>
      <c r="N759" s="30"/>
      <c r="O759" s="21"/>
      <c r="P759" s="21"/>
      <c r="Q759" s="29"/>
    </row>
    <row r="760" ht="15.75" customHeight="1">
      <c r="H760" s="9"/>
      <c r="K760" s="30"/>
      <c r="L760" s="30"/>
      <c r="M760" s="30"/>
      <c r="N760" s="30"/>
      <c r="O760" s="21"/>
      <c r="P760" s="21"/>
      <c r="Q760" s="29"/>
    </row>
    <row r="761" ht="15.75" customHeight="1">
      <c r="H761" s="9"/>
      <c r="K761" s="30"/>
      <c r="L761" s="30"/>
      <c r="M761" s="30"/>
      <c r="N761" s="30"/>
      <c r="O761" s="21"/>
      <c r="P761" s="21"/>
      <c r="Q761" s="29"/>
    </row>
    <row r="762" ht="15.75" customHeight="1">
      <c r="H762" s="9"/>
      <c r="K762" s="30"/>
      <c r="L762" s="30"/>
      <c r="M762" s="30"/>
      <c r="N762" s="30"/>
      <c r="O762" s="21"/>
      <c r="P762" s="21"/>
      <c r="Q762" s="29"/>
    </row>
    <row r="763" ht="15.75" customHeight="1">
      <c r="H763" s="9"/>
      <c r="K763" s="30"/>
      <c r="L763" s="30"/>
      <c r="M763" s="30"/>
      <c r="N763" s="30"/>
      <c r="O763" s="21"/>
      <c r="P763" s="21"/>
      <c r="Q763" s="29"/>
    </row>
    <row r="764" ht="15.75" customHeight="1">
      <c r="H764" s="9"/>
      <c r="K764" s="30"/>
      <c r="L764" s="30"/>
      <c r="M764" s="30"/>
      <c r="N764" s="30"/>
      <c r="O764" s="21"/>
      <c r="P764" s="21"/>
      <c r="Q764" s="29"/>
    </row>
    <row r="765" ht="15.75" customHeight="1">
      <c r="H765" s="9"/>
      <c r="K765" s="30"/>
      <c r="L765" s="30"/>
      <c r="M765" s="30"/>
      <c r="N765" s="30"/>
      <c r="O765" s="21"/>
      <c r="P765" s="21"/>
      <c r="Q765" s="29"/>
    </row>
    <row r="766" ht="15.75" customHeight="1">
      <c r="H766" s="9"/>
      <c r="K766" s="30"/>
      <c r="L766" s="30"/>
      <c r="M766" s="30"/>
      <c r="N766" s="30"/>
      <c r="O766" s="21"/>
      <c r="P766" s="21"/>
      <c r="Q766" s="29"/>
    </row>
    <row r="767" ht="15.75" customHeight="1">
      <c r="H767" s="9"/>
      <c r="K767" s="30"/>
      <c r="L767" s="30"/>
      <c r="M767" s="30"/>
      <c r="N767" s="30"/>
      <c r="O767" s="21"/>
      <c r="P767" s="21"/>
      <c r="Q767" s="29"/>
    </row>
    <row r="768" ht="15.75" customHeight="1">
      <c r="H768" s="9"/>
      <c r="K768" s="30"/>
      <c r="L768" s="30"/>
      <c r="M768" s="30"/>
      <c r="N768" s="30"/>
      <c r="O768" s="21"/>
      <c r="P768" s="21"/>
      <c r="Q768" s="29"/>
    </row>
    <row r="769" ht="15.75" customHeight="1">
      <c r="H769" s="9"/>
      <c r="K769" s="30"/>
      <c r="L769" s="30"/>
      <c r="M769" s="30"/>
      <c r="N769" s="30"/>
      <c r="O769" s="21"/>
      <c r="P769" s="21"/>
      <c r="Q769" s="29"/>
    </row>
    <row r="770" ht="15.75" customHeight="1">
      <c r="H770" s="9"/>
      <c r="K770" s="30"/>
      <c r="L770" s="30"/>
      <c r="M770" s="30"/>
      <c r="N770" s="30"/>
      <c r="O770" s="21"/>
      <c r="P770" s="21"/>
      <c r="Q770" s="29"/>
    </row>
    <row r="771" ht="15.75" customHeight="1">
      <c r="H771" s="9"/>
      <c r="K771" s="30"/>
      <c r="L771" s="30"/>
      <c r="M771" s="30"/>
      <c r="N771" s="30"/>
      <c r="O771" s="21"/>
      <c r="P771" s="21"/>
      <c r="Q771" s="29"/>
    </row>
    <row r="772" ht="15.75" customHeight="1">
      <c r="H772" s="9"/>
      <c r="K772" s="30"/>
      <c r="L772" s="30"/>
      <c r="M772" s="30"/>
      <c r="N772" s="30"/>
      <c r="O772" s="21"/>
      <c r="P772" s="21"/>
      <c r="Q772" s="29"/>
    </row>
    <row r="773" ht="15.75" customHeight="1">
      <c r="H773" s="9"/>
      <c r="K773" s="30"/>
      <c r="L773" s="30"/>
      <c r="M773" s="30"/>
      <c r="N773" s="30"/>
      <c r="O773" s="21"/>
      <c r="P773" s="21"/>
      <c r="Q773" s="29"/>
    </row>
    <row r="774" ht="15.75" customHeight="1">
      <c r="H774" s="9"/>
      <c r="K774" s="30"/>
      <c r="L774" s="30"/>
      <c r="M774" s="30"/>
      <c r="N774" s="30"/>
      <c r="O774" s="21"/>
      <c r="P774" s="21"/>
      <c r="Q774" s="29"/>
    </row>
    <row r="775" ht="15.75" customHeight="1">
      <c r="H775" s="9"/>
      <c r="K775" s="30"/>
      <c r="L775" s="30"/>
      <c r="M775" s="30"/>
      <c r="N775" s="30"/>
      <c r="O775" s="21"/>
      <c r="P775" s="21"/>
      <c r="Q775" s="29"/>
    </row>
    <row r="776" ht="15.75" customHeight="1">
      <c r="H776" s="9"/>
      <c r="K776" s="30"/>
      <c r="L776" s="30"/>
      <c r="M776" s="30"/>
      <c r="N776" s="30"/>
      <c r="O776" s="21"/>
      <c r="P776" s="21"/>
      <c r="Q776" s="29"/>
    </row>
    <row r="777" ht="15.75" customHeight="1">
      <c r="H777" s="9"/>
      <c r="K777" s="30"/>
      <c r="L777" s="30"/>
      <c r="M777" s="30"/>
      <c r="N777" s="30"/>
      <c r="O777" s="21"/>
      <c r="P777" s="21"/>
      <c r="Q777" s="29"/>
    </row>
    <row r="778" ht="15.75" customHeight="1">
      <c r="H778" s="9"/>
      <c r="K778" s="30"/>
      <c r="L778" s="30"/>
      <c r="M778" s="30"/>
      <c r="N778" s="30"/>
      <c r="O778" s="21"/>
      <c r="P778" s="21"/>
      <c r="Q778" s="29"/>
    </row>
    <row r="779" ht="15.75" customHeight="1">
      <c r="H779" s="9"/>
      <c r="K779" s="30"/>
      <c r="L779" s="30"/>
      <c r="M779" s="30"/>
      <c r="N779" s="30"/>
      <c r="O779" s="21"/>
      <c r="P779" s="21"/>
      <c r="Q779" s="29"/>
    </row>
    <row r="780" ht="15.75" customHeight="1">
      <c r="H780" s="9"/>
      <c r="K780" s="30"/>
      <c r="L780" s="30"/>
      <c r="M780" s="30"/>
      <c r="N780" s="30"/>
      <c r="O780" s="21"/>
      <c r="P780" s="21"/>
      <c r="Q780" s="29"/>
    </row>
    <row r="781" ht="15.75" customHeight="1">
      <c r="H781" s="9"/>
      <c r="K781" s="30"/>
      <c r="L781" s="30"/>
      <c r="M781" s="30"/>
      <c r="N781" s="30"/>
      <c r="O781" s="21"/>
      <c r="P781" s="21"/>
      <c r="Q781" s="29"/>
    </row>
    <row r="782" ht="15.75" customHeight="1">
      <c r="H782" s="9"/>
      <c r="K782" s="30"/>
      <c r="L782" s="30"/>
      <c r="M782" s="30"/>
      <c r="N782" s="30"/>
      <c r="O782" s="21"/>
      <c r="P782" s="21"/>
      <c r="Q782" s="29"/>
    </row>
    <row r="783" ht="15.75" customHeight="1">
      <c r="H783" s="9"/>
      <c r="K783" s="30"/>
      <c r="L783" s="30"/>
      <c r="M783" s="30"/>
      <c r="N783" s="30"/>
      <c r="O783" s="21"/>
      <c r="P783" s="21"/>
      <c r="Q783" s="29"/>
    </row>
    <row r="784" ht="15.75" customHeight="1">
      <c r="H784" s="9"/>
      <c r="K784" s="30"/>
      <c r="L784" s="30"/>
      <c r="M784" s="30"/>
      <c r="N784" s="30"/>
      <c r="O784" s="21"/>
      <c r="P784" s="21"/>
      <c r="Q784" s="29"/>
    </row>
    <row r="785" ht="15.75" customHeight="1">
      <c r="H785" s="9"/>
      <c r="K785" s="30"/>
      <c r="L785" s="30"/>
      <c r="M785" s="30"/>
      <c r="N785" s="30"/>
      <c r="O785" s="21"/>
      <c r="P785" s="21"/>
      <c r="Q785" s="29"/>
    </row>
    <row r="786" ht="15.75" customHeight="1">
      <c r="H786" s="9"/>
      <c r="K786" s="30"/>
      <c r="L786" s="30"/>
      <c r="M786" s="30"/>
      <c r="N786" s="30"/>
      <c r="O786" s="21"/>
      <c r="P786" s="21"/>
      <c r="Q786" s="29"/>
    </row>
    <row r="787" ht="15.75" customHeight="1">
      <c r="H787" s="9"/>
      <c r="K787" s="30"/>
      <c r="L787" s="30"/>
      <c r="M787" s="30"/>
      <c r="N787" s="30"/>
      <c r="O787" s="21"/>
      <c r="P787" s="21"/>
      <c r="Q787" s="29"/>
    </row>
    <row r="788" ht="15.75" customHeight="1">
      <c r="H788" s="9"/>
      <c r="K788" s="30"/>
      <c r="L788" s="30"/>
      <c r="M788" s="30"/>
      <c r="N788" s="30"/>
      <c r="O788" s="21"/>
      <c r="P788" s="21"/>
      <c r="Q788" s="29"/>
    </row>
    <row r="789" ht="15.75" customHeight="1">
      <c r="H789" s="9"/>
      <c r="K789" s="30"/>
      <c r="L789" s="30"/>
      <c r="M789" s="30"/>
      <c r="N789" s="30"/>
      <c r="O789" s="21"/>
      <c r="P789" s="21"/>
      <c r="Q789" s="29"/>
    </row>
    <row r="790" ht="15.75" customHeight="1">
      <c r="H790" s="9"/>
      <c r="K790" s="30"/>
      <c r="L790" s="30"/>
      <c r="M790" s="30"/>
      <c r="N790" s="30"/>
      <c r="O790" s="21"/>
      <c r="P790" s="21"/>
      <c r="Q790" s="29"/>
    </row>
    <row r="791" ht="15.75" customHeight="1">
      <c r="H791" s="9"/>
      <c r="K791" s="30"/>
      <c r="L791" s="30"/>
      <c r="M791" s="30"/>
      <c r="N791" s="30"/>
      <c r="O791" s="21"/>
      <c r="P791" s="21"/>
      <c r="Q791" s="29"/>
    </row>
    <row r="792" ht="15.75" customHeight="1">
      <c r="H792" s="9"/>
      <c r="K792" s="30"/>
      <c r="L792" s="30"/>
      <c r="M792" s="30"/>
      <c r="N792" s="30"/>
      <c r="O792" s="21"/>
      <c r="P792" s="21"/>
      <c r="Q792" s="29"/>
    </row>
    <row r="793" ht="15.75" customHeight="1">
      <c r="H793" s="9"/>
      <c r="K793" s="30"/>
      <c r="L793" s="30"/>
      <c r="M793" s="30"/>
      <c r="N793" s="30"/>
      <c r="O793" s="21"/>
      <c r="P793" s="21"/>
      <c r="Q793" s="29"/>
    </row>
    <row r="794" ht="15.75" customHeight="1">
      <c r="H794" s="9"/>
      <c r="K794" s="30"/>
      <c r="L794" s="30"/>
      <c r="M794" s="30"/>
      <c r="N794" s="30"/>
      <c r="O794" s="21"/>
      <c r="P794" s="21"/>
      <c r="Q794" s="29"/>
    </row>
    <row r="795" ht="15.75" customHeight="1">
      <c r="H795" s="9"/>
      <c r="K795" s="30"/>
      <c r="L795" s="30"/>
      <c r="M795" s="30"/>
      <c r="N795" s="30"/>
      <c r="O795" s="21"/>
      <c r="P795" s="21"/>
      <c r="Q795" s="29"/>
    </row>
    <row r="796" ht="15.75" customHeight="1">
      <c r="H796" s="9"/>
      <c r="K796" s="30"/>
      <c r="L796" s="30"/>
      <c r="M796" s="30"/>
      <c r="N796" s="30"/>
      <c r="O796" s="21"/>
      <c r="P796" s="21"/>
      <c r="Q796" s="29"/>
    </row>
    <row r="797" ht="15.75" customHeight="1">
      <c r="H797" s="9"/>
      <c r="K797" s="30"/>
      <c r="L797" s="30"/>
      <c r="M797" s="30"/>
      <c r="N797" s="30"/>
      <c r="O797" s="21"/>
      <c r="P797" s="21"/>
      <c r="Q797" s="29"/>
    </row>
    <row r="798" ht="15.75" customHeight="1">
      <c r="H798" s="9"/>
      <c r="K798" s="30"/>
      <c r="L798" s="30"/>
      <c r="M798" s="30"/>
      <c r="N798" s="30"/>
      <c r="O798" s="21"/>
      <c r="P798" s="21"/>
      <c r="Q798" s="29"/>
    </row>
    <row r="799" ht="15.75" customHeight="1">
      <c r="H799" s="9"/>
      <c r="K799" s="30"/>
      <c r="L799" s="30"/>
      <c r="M799" s="30"/>
      <c r="N799" s="30"/>
      <c r="O799" s="21"/>
      <c r="P799" s="21"/>
      <c r="Q799" s="29"/>
    </row>
    <row r="800" ht="15.75" customHeight="1">
      <c r="H800" s="9"/>
      <c r="K800" s="30"/>
      <c r="L800" s="30"/>
      <c r="M800" s="30"/>
      <c r="N800" s="30"/>
      <c r="O800" s="21"/>
      <c r="P800" s="21"/>
      <c r="Q800" s="29"/>
    </row>
    <row r="801" ht="15.75" customHeight="1">
      <c r="H801" s="9"/>
      <c r="K801" s="30"/>
      <c r="L801" s="30"/>
      <c r="M801" s="30"/>
      <c r="N801" s="30"/>
      <c r="O801" s="21"/>
      <c r="P801" s="21"/>
      <c r="Q801" s="29"/>
    </row>
    <row r="802" ht="15.75" customHeight="1">
      <c r="H802" s="9"/>
      <c r="K802" s="30"/>
      <c r="L802" s="30"/>
      <c r="M802" s="30"/>
      <c r="N802" s="30"/>
      <c r="O802" s="21"/>
      <c r="P802" s="21"/>
      <c r="Q802" s="29"/>
    </row>
    <row r="803" ht="15.75" customHeight="1">
      <c r="H803" s="9"/>
      <c r="K803" s="30"/>
      <c r="L803" s="30"/>
      <c r="M803" s="30"/>
      <c r="N803" s="30"/>
      <c r="O803" s="21"/>
      <c r="P803" s="21"/>
      <c r="Q803" s="29"/>
    </row>
    <row r="804" ht="15.75" customHeight="1">
      <c r="H804" s="9"/>
      <c r="K804" s="30"/>
      <c r="L804" s="30"/>
      <c r="M804" s="30"/>
      <c r="N804" s="30"/>
      <c r="O804" s="21"/>
      <c r="P804" s="21"/>
      <c r="Q804" s="29"/>
    </row>
    <row r="805" ht="15.75" customHeight="1">
      <c r="H805" s="9"/>
      <c r="K805" s="30"/>
      <c r="L805" s="30"/>
      <c r="M805" s="30"/>
      <c r="N805" s="30"/>
      <c r="O805" s="21"/>
      <c r="P805" s="21"/>
      <c r="Q805" s="29"/>
    </row>
    <row r="806" ht="15.75" customHeight="1">
      <c r="H806" s="9"/>
      <c r="K806" s="30"/>
      <c r="L806" s="30"/>
      <c r="M806" s="30"/>
      <c r="N806" s="30"/>
      <c r="O806" s="21"/>
      <c r="P806" s="21"/>
      <c r="Q806" s="29"/>
    </row>
    <row r="807" ht="15.75" customHeight="1">
      <c r="H807" s="9"/>
      <c r="K807" s="30"/>
      <c r="L807" s="30"/>
      <c r="M807" s="30"/>
      <c r="N807" s="30"/>
      <c r="O807" s="21"/>
      <c r="P807" s="21"/>
      <c r="Q807" s="29"/>
    </row>
    <row r="808" ht="15.75" customHeight="1">
      <c r="H808" s="9"/>
      <c r="K808" s="30"/>
      <c r="L808" s="30"/>
      <c r="M808" s="30"/>
      <c r="N808" s="30"/>
      <c r="O808" s="21"/>
      <c r="P808" s="21"/>
      <c r="Q808" s="29"/>
    </row>
    <row r="809" ht="15.75" customHeight="1">
      <c r="H809" s="9"/>
      <c r="K809" s="30"/>
      <c r="L809" s="30"/>
      <c r="M809" s="30"/>
      <c r="N809" s="30"/>
      <c r="O809" s="21"/>
      <c r="P809" s="21"/>
      <c r="Q809" s="29"/>
    </row>
    <row r="810" ht="15.75" customHeight="1">
      <c r="H810" s="9"/>
      <c r="K810" s="30"/>
      <c r="L810" s="30"/>
      <c r="M810" s="30"/>
      <c r="N810" s="30"/>
      <c r="O810" s="21"/>
      <c r="P810" s="21"/>
      <c r="Q810" s="29"/>
    </row>
    <row r="811" ht="15.75" customHeight="1">
      <c r="H811" s="9"/>
      <c r="K811" s="30"/>
      <c r="L811" s="30"/>
      <c r="M811" s="30"/>
      <c r="N811" s="30"/>
      <c r="O811" s="21"/>
      <c r="P811" s="21"/>
      <c r="Q811" s="29"/>
    </row>
    <row r="812" ht="15.75" customHeight="1">
      <c r="H812" s="9"/>
      <c r="K812" s="30"/>
      <c r="L812" s="30"/>
      <c r="M812" s="30"/>
      <c r="N812" s="30"/>
      <c r="O812" s="21"/>
      <c r="P812" s="21"/>
      <c r="Q812" s="29"/>
    </row>
    <row r="813" ht="15.75" customHeight="1">
      <c r="H813" s="9"/>
      <c r="K813" s="30"/>
      <c r="L813" s="30"/>
      <c r="M813" s="30"/>
      <c r="N813" s="30"/>
      <c r="O813" s="21"/>
      <c r="P813" s="21"/>
      <c r="Q813" s="29"/>
    </row>
    <row r="814" ht="15.75" customHeight="1">
      <c r="H814" s="9"/>
      <c r="K814" s="30"/>
      <c r="L814" s="30"/>
      <c r="M814" s="30"/>
      <c r="N814" s="30"/>
      <c r="O814" s="21"/>
      <c r="P814" s="21"/>
      <c r="Q814" s="29"/>
    </row>
    <row r="815" ht="15.75" customHeight="1">
      <c r="H815" s="9"/>
      <c r="K815" s="30"/>
      <c r="L815" s="30"/>
      <c r="M815" s="30"/>
      <c r="N815" s="30"/>
      <c r="O815" s="21"/>
      <c r="P815" s="21"/>
      <c r="Q815" s="29"/>
    </row>
    <row r="816" ht="15.75" customHeight="1">
      <c r="H816" s="9"/>
      <c r="K816" s="30"/>
      <c r="L816" s="30"/>
      <c r="M816" s="30"/>
      <c r="N816" s="30"/>
      <c r="O816" s="21"/>
      <c r="P816" s="21"/>
      <c r="Q816" s="29"/>
    </row>
    <row r="817" ht="15.75" customHeight="1">
      <c r="H817" s="9"/>
      <c r="K817" s="30"/>
      <c r="L817" s="30"/>
      <c r="M817" s="30"/>
      <c r="N817" s="30"/>
      <c r="O817" s="21"/>
      <c r="P817" s="21"/>
      <c r="Q817" s="29"/>
    </row>
    <row r="818" ht="15.75" customHeight="1">
      <c r="H818" s="9"/>
      <c r="K818" s="30"/>
      <c r="L818" s="30"/>
      <c r="M818" s="30"/>
      <c r="N818" s="30"/>
      <c r="O818" s="21"/>
      <c r="P818" s="21"/>
      <c r="Q818" s="29"/>
    </row>
    <row r="819" ht="15.75" customHeight="1">
      <c r="H819" s="9"/>
      <c r="K819" s="30"/>
      <c r="L819" s="30"/>
      <c r="M819" s="30"/>
      <c r="N819" s="30"/>
      <c r="O819" s="21"/>
      <c r="P819" s="21"/>
      <c r="Q819" s="29"/>
    </row>
    <row r="820" ht="15.75" customHeight="1">
      <c r="H820" s="9"/>
      <c r="K820" s="30"/>
      <c r="L820" s="30"/>
      <c r="M820" s="30"/>
      <c r="N820" s="30"/>
      <c r="O820" s="21"/>
      <c r="P820" s="21"/>
      <c r="Q820" s="29"/>
    </row>
    <row r="821" ht="15.75" customHeight="1">
      <c r="H821" s="9"/>
      <c r="K821" s="30"/>
      <c r="L821" s="30"/>
      <c r="M821" s="30"/>
      <c r="N821" s="30"/>
      <c r="O821" s="21"/>
      <c r="P821" s="21"/>
      <c r="Q821" s="29"/>
    </row>
    <row r="822" ht="15.75" customHeight="1">
      <c r="H822" s="9"/>
      <c r="K822" s="30"/>
      <c r="L822" s="30"/>
      <c r="M822" s="30"/>
      <c r="N822" s="30"/>
      <c r="O822" s="21"/>
      <c r="P822" s="21"/>
      <c r="Q822" s="29"/>
    </row>
    <row r="823" ht="15.75" customHeight="1">
      <c r="H823" s="9"/>
      <c r="K823" s="30"/>
      <c r="L823" s="30"/>
      <c r="M823" s="30"/>
      <c r="N823" s="30"/>
      <c r="O823" s="21"/>
      <c r="P823" s="21"/>
      <c r="Q823" s="29"/>
    </row>
    <row r="824" ht="15.75" customHeight="1">
      <c r="H824" s="9"/>
      <c r="K824" s="30"/>
      <c r="L824" s="30"/>
      <c r="M824" s="30"/>
      <c r="N824" s="30"/>
      <c r="O824" s="21"/>
      <c r="P824" s="21"/>
      <c r="Q824" s="29"/>
    </row>
    <row r="825" ht="15.75" customHeight="1">
      <c r="H825" s="9"/>
      <c r="K825" s="30"/>
      <c r="L825" s="30"/>
      <c r="M825" s="30"/>
      <c r="N825" s="30"/>
      <c r="O825" s="21"/>
      <c r="P825" s="21"/>
      <c r="Q825" s="29"/>
    </row>
    <row r="826" ht="15.75" customHeight="1">
      <c r="H826" s="9"/>
      <c r="K826" s="30"/>
      <c r="L826" s="30"/>
      <c r="M826" s="30"/>
      <c r="N826" s="30"/>
      <c r="O826" s="21"/>
      <c r="P826" s="21"/>
      <c r="Q826" s="29"/>
    </row>
    <row r="827" ht="15.75" customHeight="1">
      <c r="H827" s="9"/>
      <c r="K827" s="30"/>
      <c r="L827" s="30"/>
      <c r="M827" s="30"/>
      <c r="N827" s="30"/>
      <c r="O827" s="21"/>
      <c r="P827" s="21"/>
      <c r="Q827" s="29"/>
    </row>
    <row r="828" ht="15.75" customHeight="1">
      <c r="H828" s="9"/>
      <c r="K828" s="30"/>
      <c r="L828" s="30"/>
      <c r="M828" s="30"/>
      <c r="N828" s="30"/>
      <c r="O828" s="21"/>
      <c r="P828" s="21"/>
      <c r="Q828" s="29"/>
    </row>
    <row r="829" ht="15.75" customHeight="1">
      <c r="H829" s="9"/>
      <c r="K829" s="30"/>
      <c r="L829" s="30"/>
      <c r="M829" s="30"/>
      <c r="N829" s="30"/>
      <c r="O829" s="21"/>
      <c r="P829" s="21"/>
      <c r="Q829" s="29"/>
    </row>
    <row r="830" ht="15.75" customHeight="1">
      <c r="H830" s="9"/>
      <c r="K830" s="30"/>
      <c r="L830" s="30"/>
      <c r="M830" s="30"/>
      <c r="N830" s="30"/>
      <c r="O830" s="21"/>
      <c r="P830" s="21"/>
      <c r="Q830" s="29"/>
    </row>
    <row r="831" ht="15.75" customHeight="1">
      <c r="H831" s="9"/>
      <c r="K831" s="30"/>
      <c r="L831" s="30"/>
      <c r="M831" s="30"/>
      <c r="N831" s="30"/>
      <c r="O831" s="21"/>
      <c r="P831" s="21"/>
      <c r="Q831" s="29"/>
    </row>
    <row r="832" ht="15.75" customHeight="1">
      <c r="H832" s="9"/>
      <c r="K832" s="30"/>
      <c r="L832" s="30"/>
      <c r="M832" s="30"/>
      <c r="N832" s="30"/>
      <c r="O832" s="21"/>
      <c r="P832" s="21"/>
      <c r="Q832" s="29"/>
    </row>
    <row r="833" ht="15.75" customHeight="1">
      <c r="H833" s="9"/>
      <c r="K833" s="30"/>
      <c r="L833" s="30"/>
      <c r="M833" s="30"/>
      <c r="N833" s="30"/>
      <c r="O833" s="21"/>
      <c r="P833" s="21"/>
      <c r="Q833" s="29"/>
    </row>
    <row r="834" ht="15.75" customHeight="1">
      <c r="H834" s="9"/>
      <c r="K834" s="30"/>
      <c r="L834" s="30"/>
      <c r="M834" s="30"/>
      <c r="N834" s="30"/>
      <c r="O834" s="21"/>
      <c r="P834" s="21"/>
      <c r="Q834" s="29"/>
    </row>
    <row r="835" ht="15.75" customHeight="1">
      <c r="H835" s="9"/>
      <c r="K835" s="30"/>
      <c r="L835" s="30"/>
      <c r="M835" s="30"/>
      <c r="N835" s="30"/>
      <c r="O835" s="21"/>
      <c r="P835" s="21"/>
      <c r="Q835" s="29"/>
    </row>
    <row r="836" ht="15.75" customHeight="1">
      <c r="H836" s="9"/>
      <c r="K836" s="30"/>
      <c r="L836" s="30"/>
      <c r="M836" s="30"/>
      <c r="N836" s="30"/>
      <c r="O836" s="21"/>
      <c r="P836" s="21"/>
      <c r="Q836" s="29"/>
    </row>
    <row r="837" ht="15.75" customHeight="1">
      <c r="H837" s="9"/>
      <c r="K837" s="30"/>
      <c r="L837" s="30"/>
      <c r="M837" s="30"/>
      <c r="N837" s="30"/>
      <c r="O837" s="21"/>
      <c r="P837" s="21"/>
      <c r="Q837" s="29"/>
    </row>
    <row r="838" ht="15.75" customHeight="1">
      <c r="H838" s="9"/>
      <c r="K838" s="30"/>
      <c r="L838" s="30"/>
      <c r="M838" s="30"/>
      <c r="N838" s="30"/>
      <c r="O838" s="21"/>
      <c r="P838" s="21"/>
      <c r="Q838" s="29"/>
    </row>
    <row r="839" ht="15.75" customHeight="1">
      <c r="H839" s="9"/>
      <c r="K839" s="30"/>
      <c r="L839" s="30"/>
      <c r="M839" s="30"/>
      <c r="N839" s="30"/>
      <c r="O839" s="21"/>
      <c r="P839" s="21"/>
      <c r="Q839" s="29"/>
    </row>
    <row r="840" ht="15.75" customHeight="1">
      <c r="H840" s="9"/>
      <c r="K840" s="30"/>
      <c r="L840" s="30"/>
      <c r="M840" s="30"/>
      <c r="N840" s="30"/>
      <c r="O840" s="21"/>
      <c r="P840" s="21"/>
      <c r="Q840" s="29"/>
    </row>
    <row r="841" ht="15.75" customHeight="1">
      <c r="H841" s="9"/>
      <c r="K841" s="30"/>
      <c r="L841" s="30"/>
      <c r="M841" s="30"/>
      <c r="N841" s="30"/>
      <c r="O841" s="21"/>
      <c r="P841" s="21"/>
      <c r="Q841" s="29"/>
    </row>
    <row r="842" ht="15.75" customHeight="1">
      <c r="H842" s="9"/>
      <c r="K842" s="30"/>
      <c r="L842" s="30"/>
      <c r="M842" s="30"/>
      <c r="N842" s="30"/>
      <c r="O842" s="21"/>
      <c r="P842" s="21"/>
      <c r="Q842" s="29"/>
    </row>
    <row r="843" ht="15.75" customHeight="1">
      <c r="H843" s="9"/>
      <c r="K843" s="30"/>
      <c r="L843" s="30"/>
      <c r="M843" s="30"/>
      <c r="N843" s="30"/>
      <c r="O843" s="21"/>
      <c r="P843" s="21"/>
      <c r="Q843" s="29"/>
    </row>
    <row r="844" ht="15.75" customHeight="1">
      <c r="H844" s="9"/>
      <c r="K844" s="30"/>
      <c r="L844" s="30"/>
      <c r="M844" s="30"/>
      <c r="N844" s="30"/>
      <c r="O844" s="21"/>
      <c r="P844" s="21"/>
      <c r="Q844" s="29"/>
    </row>
    <row r="845" ht="15.75" customHeight="1">
      <c r="H845" s="9"/>
      <c r="K845" s="30"/>
      <c r="L845" s="30"/>
      <c r="M845" s="30"/>
      <c r="N845" s="30"/>
      <c r="O845" s="21"/>
      <c r="P845" s="21"/>
      <c r="Q845" s="29"/>
    </row>
    <row r="846" ht="15.75" customHeight="1">
      <c r="H846" s="9"/>
      <c r="K846" s="30"/>
      <c r="L846" s="30"/>
      <c r="M846" s="30"/>
      <c r="N846" s="30"/>
      <c r="O846" s="21"/>
      <c r="P846" s="21"/>
      <c r="Q846" s="29"/>
    </row>
    <row r="847" ht="15.75" customHeight="1">
      <c r="H847" s="9"/>
      <c r="K847" s="30"/>
      <c r="L847" s="30"/>
      <c r="M847" s="30"/>
      <c r="N847" s="30"/>
      <c r="O847" s="21"/>
      <c r="P847" s="21"/>
      <c r="Q847" s="29"/>
    </row>
    <row r="848" ht="15.75" customHeight="1">
      <c r="H848" s="9"/>
      <c r="K848" s="30"/>
      <c r="L848" s="30"/>
      <c r="M848" s="30"/>
      <c r="N848" s="30"/>
      <c r="O848" s="21"/>
      <c r="P848" s="21"/>
      <c r="Q848" s="29"/>
    </row>
    <row r="849" ht="15.75" customHeight="1">
      <c r="H849" s="9"/>
      <c r="K849" s="30"/>
      <c r="L849" s="30"/>
      <c r="M849" s="30"/>
      <c r="N849" s="30"/>
      <c r="O849" s="21"/>
      <c r="P849" s="21"/>
      <c r="Q849" s="29"/>
    </row>
    <row r="850" ht="15.75" customHeight="1">
      <c r="H850" s="9"/>
      <c r="K850" s="30"/>
      <c r="L850" s="30"/>
      <c r="M850" s="30"/>
      <c r="N850" s="30"/>
      <c r="O850" s="21"/>
      <c r="P850" s="21"/>
      <c r="Q850" s="29"/>
    </row>
    <row r="851" ht="15.75" customHeight="1">
      <c r="H851" s="9"/>
      <c r="K851" s="30"/>
      <c r="L851" s="30"/>
      <c r="M851" s="30"/>
      <c r="N851" s="30"/>
      <c r="O851" s="21"/>
      <c r="P851" s="21"/>
      <c r="Q851" s="29"/>
    </row>
    <row r="852" ht="15.75" customHeight="1">
      <c r="H852" s="9"/>
      <c r="K852" s="30"/>
      <c r="L852" s="30"/>
      <c r="M852" s="30"/>
      <c r="N852" s="30"/>
      <c r="O852" s="21"/>
      <c r="P852" s="21"/>
      <c r="Q852" s="29"/>
    </row>
    <row r="853" ht="15.75" customHeight="1">
      <c r="H853" s="9"/>
      <c r="K853" s="30"/>
      <c r="L853" s="30"/>
      <c r="M853" s="30"/>
      <c r="N853" s="30"/>
      <c r="O853" s="21"/>
      <c r="P853" s="21"/>
      <c r="Q853" s="29"/>
    </row>
    <row r="854" ht="15.75" customHeight="1">
      <c r="H854" s="9"/>
      <c r="K854" s="30"/>
      <c r="L854" s="30"/>
      <c r="M854" s="30"/>
      <c r="N854" s="30"/>
      <c r="O854" s="21"/>
      <c r="P854" s="21"/>
      <c r="Q854" s="29"/>
    </row>
    <row r="855" ht="15.75" customHeight="1">
      <c r="H855" s="9"/>
      <c r="K855" s="30"/>
      <c r="L855" s="30"/>
      <c r="M855" s="30"/>
      <c r="N855" s="30"/>
      <c r="O855" s="21"/>
      <c r="P855" s="21"/>
      <c r="Q855" s="29"/>
    </row>
    <row r="856" ht="15.75" customHeight="1">
      <c r="H856" s="9"/>
      <c r="K856" s="30"/>
      <c r="L856" s="30"/>
      <c r="M856" s="30"/>
      <c r="N856" s="30"/>
      <c r="O856" s="21"/>
      <c r="P856" s="21"/>
      <c r="Q856" s="29"/>
    </row>
    <row r="857" ht="15.75" customHeight="1">
      <c r="H857" s="9"/>
      <c r="K857" s="30"/>
      <c r="L857" s="30"/>
      <c r="M857" s="30"/>
      <c r="N857" s="30"/>
      <c r="O857" s="21"/>
      <c r="P857" s="21"/>
      <c r="Q857" s="29"/>
    </row>
    <row r="858" ht="15.75" customHeight="1">
      <c r="H858" s="9"/>
      <c r="K858" s="30"/>
      <c r="L858" s="30"/>
      <c r="M858" s="30"/>
      <c r="N858" s="30"/>
      <c r="O858" s="21"/>
      <c r="P858" s="21"/>
      <c r="Q858" s="29"/>
    </row>
    <row r="859" ht="15.75" customHeight="1">
      <c r="H859" s="9"/>
      <c r="K859" s="30"/>
      <c r="L859" s="30"/>
      <c r="M859" s="30"/>
      <c r="N859" s="30"/>
      <c r="O859" s="21"/>
      <c r="P859" s="21"/>
      <c r="Q859" s="29"/>
    </row>
    <row r="860" ht="15.75" customHeight="1">
      <c r="H860" s="9"/>
      <c r="K860" s="30"/>
      <c r="L860" s="30"/>
      <c r="M860" s="30"/>
      <c r="N860" s="30"/>
      <c r="O860" s="21"/>
      <c r="P860" s="21"/>
      <c r="Q860" s="29"/>
    </row>
    <row r="861" ht="15.75" customHeight="1">
      <c r="H861" s="9"/>
      <c r="K861" s="30"/>
      <c r="L861" s="30"/>
      <c r="M861" s="30"/>
      <c r="N861" s="30"/>
      <c r="O861" s="21"/>
      <c r="P861" s="21"/>
      <c r="Q861" s="29"/>
    </row>
    <row r="862" ht="15.75" customHeight="1">
      <c r="H862" s="9"/>
      <c r="K862" s="30"/>
      <c r="L862" s="30"/>
      <c r="M862" s="30"/>
      <c r="N862" s="30"/>
      <c r="O862" s="21"/>
      <c r="P862" s="21"/>
      <c r="Q862" s="29"/>
    </row>
    <row r="863" ht="15.75" customHeight="1">
      <c r="H863" s="9"/>
      <c r="K863" s="30"/>
      <c r="L863" s="30"/>
      <c r="M863" s="30"/>
      <c r="N863" s="30"/>
      <c r="O863" s="21"/>
      <c r="P863" s="21"/>
      <c r="Q863" s="29"/>
    </row>
    <row r="864" ht="15.75" customHeight="1">
      <c r="H864" s="9"/>
      <c r="K864" s="30"/>
      <c r="L864" s="30"/>
      <c r="M864" s="30"/>
      <c r="N864" s="30"/>
      <c r="O864" s="21"/>
      <c r="P864" s="21"/>
      <c r="Q864" s="29"/>
    </row>
    <row r="865" ht="15.75" customHeight="1">
      <c r="H865" s="9"/>
      <c r="K865" s="30"/>
      <c r="L865" s="30"/>
      <c r="M865" s="30"/>
      <c r="N865" s="30"/>
      <c r="O865" s="21"/>
      <c r="P865" s="21"/>
      <c r="Q865" s="29"/>
    </row>
    <row r="866" ht="15.75" customHeight="1">
      <c r="H866" s="9"/>
      <c r="K866" s="30"/>
      <c r="L866" s="30"/>
      <c r="M866" s="30"/>
      <c r="N866" s="30"/>
      <c r="O866" s="21"/>
      <c r="P866" s="21"/>
      <c r="Q866" s="29"/>
    </row>
    <row r="867" ht="15.75" customHeight="1">
      <c r="H867" s="9"/>
      <c r="K867" s="30"/>
      <c r="L867" s="30"/>
      <c r="M867" s="30"/>
      <c r="N867" s="30"/>
      <c r="O867" s="21"/>
      <c r="P867" s="21"/>
      <c r="Q867" s="29"/>
    </row>
    <row r="868" ht="15.75" customHeight="1">
      <c r="H868" s="9"/>
      <c r="K868" s="30"/>
      <c r="L868" s="30"/>
      <c r="M868" s="30"/>
      <c r="N868" s="30"/>
      <c r="O868" s="21"/>
      <c r="P868" s="21"/>
      <c r="Q868" s="29"/>
    </row>
    <row r="869" ht="15.75" customHeight="1">
      <c r="H869" s="9"/>
      <c r="K869" s="30"/>
      <c r="L869" s="30"/>
      <c r="M869" s="30"/>
      <c r="N869" s="30"/>
      <c r="O869" s="21"/>
      <c r="P869" s="21"/>
      <c r="Q869" s="29"/>
    </row>
    <row r="870" ht="15.75" customHeight="1">
      <c r="H870" s="9"/>
      <c r="K870" s="30"/>
      <c r="L870" s="30"/>
      <c r="M870" s="30"/>
      <c r="N870" s="30"/>
      <c r="O870" s="21"/>
      <c r="P870" s="21"/>
      <c r="Q870" s="29"/>
    </row>
    <row r="871" ht="15.75" customHeight="1">
      <c r="H871" s="9"/>
      <c r="K871" s="30"/>
      <c r="L871" s="30"/>
      <c r="M871" s="30"/>
      <c r="N871" s="30"/>
      <c r="O871" s="21"/>
      <c r="P871" s="21"/>
      <c r="Q871" s="29"/>
    </row>
    <row r="872" ht="15.75" customHeight="1">
      <c r="H872" s="9"/>
      <c r="K872" s="30"/>
      <c r="L872" s="30"/>
      <c r="M872" s="30"/>
      <c r="N872" s="30"/>
      <c r="O872" s="21"/>
      <c r="P872" s="21"/>
      <c r="Q872" s="29"/>
    </row>
    <row r="873" ht="15.75" customHeight="1">
      <c r="H873" s="9"/>
      <c r="K873" s="30"/>
      <c r="L873" s="30"/>
      <c r="M873" s="30"/>
      <c r="N873" s="30"/>
      <c r="O873" s="21"/>
      <c r="P873" s="21"/>
      <c r="Q873" s="29"/>
    </row>
    <row r="874" ht="15.75" customHeight="1">
      <c r="H874" s="9"/>
      <c r="K874" s="30"/>
      <c r="L874" s="30"/>
      <c r="M874" s="30"/>
      <c r="N874" s="30"/>
      <c r="O874" s="21"/>
      <c r="P874" s="21"/>
      <c r="Q874" s="29"/>
    </row>
    <row r="875" ht="15.75" customHeight="1">
      <c r="H875" s="9"/>
      <c r="K875" s="30"/>
      <c r="L875" s="30"/>
      <c r="M875" s="30"/>
      <c r="N875" s="30"/>
      <c r="O875" s="21"/>
      <c r="P875" s="21"/>
      <c r="Q875" s="29"/>
    </row>
    <row r="876" ht="15.75" customHeight="1">
      <c r="H876" s="9"/>
      <c r="K876" s="30"/>
      <c r="L876" s="30"/>
      <c r="M876" s="30"/>
      <c r="N876" s="30"/>
      <c r="O876" s="21"/>
      <c r="P876" s="21"/>
      <c r="Q876" s="29"/>
    </row>
    <row r="877" ht="15.75" customHeight="1">
      <c r="H877" s="9"/>
      <c r="K877" s="30"/>
      <c r="L877" s="30"/>
      <c r="M877" s="30"/>
      <c r="N877" s="30"/>
      <c r="O877" s="21"/>
      <c r="P877" s="21"/>
      <c r="Q877" s="29"/>
    </row>
    <row r="878" ht="15.75" customHeight="1">
      <c r="H878" s="9"/>
      <c r="K878" s="30"/>
      <c r="L878" s="30"/>
      <c r="M878" s="30"/>
      <c r="N878" s="30"/>
      <c r="O878" s="21"/>
      <c r="P878" s="21"/>
      <c r="Q878" s="29"/>
    </row>
    <row r="879" ht="15.75" customHeight="1">
      <c r="H879" s="9"/>
      <c r="K879" s="30"/>
      <c r="L879" s="30"/>
      <c r="M879" s="30"/>
      <c r="N879" s="30"/>
      <c r="O879" s="21"/>
      <c r="P879" s="21"/>
      <c r="Q879" s="29"/>
    </row>
    <row r="880" ht="15.75" customHeight="1">
      <c r="H880" s="9"/>
      <c r="K880" s="30"/>
      <c r="L880" s="30"/>
      <c r="M880" s="30"/>
      <c r="N880" s="30"/>
      <c r="O880" s="21"/>
      <c r="P880" s="21"/>
      <c r="Q880" s="29"/>
    </row>
    <row r="881" ht="15.75" customHeight="1">
      <c r="H881" s="9"/>
      <c r="K881" s="30"/>
      <c r="L881" s="30"/>
      <c r="M881" s="30"/>
      <c r="N881" s="30"/>
      <c r="O881" s="21"/>
      <c r="P881" s="21"/>
      <c r="Q881" s="29"/>
    </row>
    <row r="882" ht="15.75" customHeight="1">
      <c r="H882" s="9"/>
      <c r="K882" s="30"/>
      <c r="L882" s="30"/>
      <c r="M882" s="30"/>
      <c r="N882" s="30"/>
      <c r="O882" s="21"/>
      <c r="P882" s="21"/>
      <c r="Q882" s="29"/>
    </row>
    <row r="883" ht="15.75" customHeight="1">
      <c r="H883" s="9"/>
      <c r="K883" s="30"/>
      <c r="L883" s="30"/>
      <c r="M883" s="30"/>
      <c r="N883" s="30"/>
      <c r="O883" s="21"/>
      <c r="P883" s="21"/>
      <c r="Q883" s="29"/>
    </row>
    <row r="884" ht="15.75" customHeight="1">
      <c r="H884" s="9"/>
      <c r="K884" s="30"/>
      <c r="L884" s="30"/>
      <c r="M884" s="30"/>
      <c r="N884" s="30"/>
      <c r="O884" s="21"/>
      <c r="P884" s="21"/>
      <c r="Q884" s="29"/>
    </row>
    <row r="885" ht="15.75" customHeight="1">
      <c r="H885" s="9"/>
      <c r="K885" s="30"/>
      <c r="L885" s="30"/>
      <c r="M885" s="30"/>
      <c r="N885" s="30"/>
      <c r="O885" s="21"/>
      <c r="P885" s="21"/>
      <c r="Q885" s="29"/>
    </row>
    <row r="886" ht="15.75" customHeight="1">
      <c r="H886" s="9"/>
      <c r="K886" s="30"/>
      <c r="L886" s="30"/>
      <c r="M886" s="30"/>
      <c r="N886" s="30"/>
      <c r="O886" s="21"/>
      <c r="P886" s="21"/>
      <c r="Q886" s="29"/>
    </row>
    <row r="887" ht="15.75" customHeight="1">
      <c r="H887" s="9"/>
      <c r="K887" s="30"/>
      <c r="L887" s="30"/>
      <c r="M887" s="30"/>
      <c r="N887" s="30"/>
      <c r="O887" s="21"/>
      <c r="P887" s="21"/>
      <c r="Q887" s="29"/>
    </row>
    <row r="888" ht="15.75" customHeight="1">
      <c r="H888" s="9"/>
      <c r="K888" s="30"/>
      <c r="L888" s="30"/>
      <c r="M888" s="30"/>
      <c r="N888" s="30"/>
      <c r="O888" s="21"/>
      <c r="P888" s="21"/>
      <c r="Q888" s="29"/>
    </row>
    <row r="889" ht="15.75" customHeight="1">
      <c r="H889" s="9"/>
      <c r="K889" s="30"/>
      <c r="L889" s="30"/>
      <c r="M889" s="30"/>
      <c r="N889" s="30"/>
      <c r="O889" s="21"/>
      <c r="P889" s="21"/>
      <c r="Q889" s="29"/>
    </row>
    <row r="890" ht="15.75" customHeight="1">
      <c r="H890" s="9"/>
      <c r="K890" s="30"/>
      <c r="L890" s="30"/>
      <c r="M890" s="30"/>
      <c r="N890" s="30"/>
      <c r="O890" s="21"/>
      <c r="P890" s="21"/>
      <c r="Q890" s="29"/>
    </row>
    <row r="891" ht="15.75" customHeight="1">
      <c r="H891" s="9"/>
      <c r="K891" s="30"/>
      <c r="L891" s="30"/>
      <c r="M891" s="30"/>
      <c r="N891" s="30"/>
      <c r="O891" s="21"/>
      <c r="P891" s="21"/>
      <c r="Q891" s="29"/>
    </row>
    <row r="892" ht="15.75" customHeight="1">
      <c r="H892" s="9"/>
      <c r="K892" s="30"/>
      <c r="L892" s="30"/>
      <c r="M892" s="30"/>
      <c r="N892" s="30"/>
      <c r="O892" s="21"/>
      <c r="P892" s="21"/>
      <c r="Q892" s="29"/>
    </row>
    <row r="893" ht="15.75" customHeight="1">
      <c r="H893" s="9"/>
      <c r="K893" s="30"/>
      <c r="L893" s="30"/>
      <c r="M893" s="30"/>
      <c r="N893" s="30"/>
      <c r="O893" s="21"/>
      <c r="P893" s="21"/>
      <c r="Q893" s="29"/>
    </row>
    <row r="894" ht="15.75" customHeight="1">
      <c r="H894" s="9"/>
      <c r="K894" s="30"/>
      <c r="L894" s="30"/>
      <c r="M894" s="30"/>
      <c r="N894" s="30"/>
      <c r="O894" s="21"/>
      <c r="P894" s="21"/>
      <c r="Q894" s="29"/>
    </row>
    <row r="895" ht="15.75" customHeight="1">
      <c r="H895" s="9"/>
      <c r="K895" s="30"/>
      <c r="L895" s="30"/>
      <c r="M895" s="30"/>
      <c r="N895" s="30"/>
      <c r="O895" s="21"/>
      <c r="P895" s="21"/>
      <c r="Q895" s="29"/>
    </row>
    <row r="896" ht="15.75" customHeight="1">
      <c r="H896" s="9"/>
      <c r="K896" s="30"/>
      <c r="L896" s="30"/>
      <c r="M896" s="30"/>
      <c r="N896" s="30"/>
      <c r="O896" s="21"/>
      <c r="P896" s="21"/>
      <c r="Q896" s="29"/>
    </row>
    <row r="897" ht="15.75" customHeight="1">
      <c r="H897" s="9"/>
      <c r="K897" s="30"/>
      <c r="L897" s="30"/>
      <c r="M897" s="30"/>
      <c r="N897" s="30"/>
      <c r="O897" s="21"/>
      <c r="P897" s="21"/>
      <c r="Q897" s="29"/>
    </row>
    <row r="898" ht="15.75" customHeight="1">
      <c r="H898" s="9"/>
      <c r="K898" s="30"/>
      <c r="L898" s="30"/>
      <c r="M898" s="30"/>
      <c r="N898" s="30"/>
      <c r="O898" s="21"/>
      <c r="P898" s="21"/>
      <c r="Q898" s="29"/>
    </row>
    <row r="899" ht="15.75" customHeight="1">
      <c r="H899" s="9"/>
      <c r="K899" s="30"/>
      <c r="L899" s="30"/>
      <c r="M899" s="30"/>
      <c r="N899" s="30"/>
      <c r="O899" s="21"/>
      <c r="P899" s="21"/>
      <c r="Q899" s="29"/>
    </row>
    <row r="900" ht="15.75" customHeight="1">
      <c r="H900" s="9"/>
      <c r="K900" s="30"/>
      <c r="L900" s="30"/>
      <c r="M900" s="30"/>
      <c r="N900" s="30"/>
      <c r="O900" s="21"/>
      <c r="P900" s="21"/>
      <c r="Q900" s="29"/>
    </row>
    <row r="901" ht="15.75" customHeight="1">
      <c r="H901" s="9"/>
      <c r="K901" s="30"/>
      <c r="L901" s="30"/>
      <c r="M901" s="30"/>
      <c r="N901" s="30"/>
      <c r="O901" s="21"/>
      <c r="P901" s="21"/>
      <c r="Q901" s="29"/>
    </row>
    <row r="902" ht="15.75" customHeight="1">
      <c r="H902" s="9"/>
      <c r="K902" s="30"/>
      <c r="L902" s="30"/>
      <c r="M902" s="30"/>
      <c r="N902" s="30"/>
      <c r="O902" s="21"/>
      <c r="P902" s="21"/>
      <c r="Q902" s="29"/>
    </row>
    <row r="903" ht="15.75" customHeight="1">
      <c r="H903" s="9"/>
      <c r="K903" s="30"/>
      <c r="L903" s="30"/>
      <c r="M903" s="30"/>
      <c r="N903" s="30"/>
      <c r="O903" s="21"/>
      <c r="P903" s="21"/>
      <c r="Q903" s="29"/>
    </row>
    <row r="904" ht="15.75" customHeight="1">
      <c r="H904" s="9"/>
      <c r="K904" s="30"/>
      <c r="L904" s="30"/>
      <c r="M904" s="30"/>
      <c r="N904" s="30"/>
      <c r="O904" s="21"/>
      <c r="P904" s="21"/>
      <c r="Q904" s="29"/>
    </row>
    <row r="905" ht="15.75" customHeight="1">
      <c r="H905" s="9"/>
      <c r="K905" s="30"/>
      <c r="L905" s="30"/>
      <c r="M905" s="30"/>
      <c r="N905" s="30"/>
      <c r="O905" s="21"/>
      <c r="P905" s="21"/>
      <c r="Q905" s="29"/>
    </row>
    <row r="906" ht="15.75" customHeight="1">
      <c r="H906" s="9"/>
      <c r="K906" s="30"/>
      <c r="L906" s="30"/>
      <c r="M906" s="30"/>
      <c r="N906" s="30"/>
      <c r="O906" s="21"/>
      <c r="P906" s="21"/>
      <c r="Q906" s="29"/>
    </row>
    <row r="907" ht="15.75" customHeight="1">
      <c r="H907" s="9"/>
      <c r="K907" s="30"/>
      <c r="L907" s="30"/>
      <c r="M907" s="30"/>
      <c r="N907" s="30"/>
      <c r="O907" s="21"/>
      <c r="P907" s="21"/>
      <c r="Q907" s="29"/>
    </row>
    <row r="908" ht="15.75" customHeight="1">
      <c r="H908" s="9"/>
      <c r="K908" s="30"/>
      <c r="L908" s="30"/>
      <c r="M908" s="30"/>
      <c r="N908" s="30"/>
      <c r="O908" s="21"/>
      <c r="P908" s="21"/>
      <c r="Q908" s="29"/>
    </row>
    <row r="909" ht="15.75" customHeight="1">
      <c r="H909" s="9"/>
      <c r="K909" s="30"/>
      <c r="L909" s="30"/>
      <c r="M909" s="30"/>
      <c r="N909" s="30"/>
      <c r="O909" s="21"/>
      <c r="P909" s="21"/>
      <c r="Q909" s="29"/>
    </row>
    <row r="910" ht="15.75" customHeight="1">
      <c r="H910" s="9"/>
      <c r="K910" s="30"/>
      <c r="L910" s="30"/>
      <c r="M910" s="30"/>
      <c r="N910" s="30"/>
      <c r="O910" s="21"/>
      <c r="P910" s="21"/>
      <c r="Q910" s="29"/>
    </row>
    <row r="911" ht="15.75" customHeight="1">
      <c r="H911" s="9"/>
      <c r="K911" s="30"/>
      <c r="L911" s="30"/>
      <c r="M911" s="30"/>
      <c r="N911" s="30"/>
      <c r="O911" s="21"/>
      <c r="P911" s="21"/>
      <c r="Q911" s="29"/>
    </row>
    <row r="912" ht="15.75" customHeight="1">
      <c r="H912" s="9"/>
      <c r="K912" s="30"/>
      <c r="L912" s="30"/>
      <c r="M912" s="30"/>
      <c r="N912" s="30"/>
      <c r="O912" s="21"/>
      <c r="P912" s="21"/>
      <c r="Q912" s="29"/>
    </row>
    <row r="913" ht="15.75" customHeight="1">
      <c r="H913" s="9"/>
      <c r="K913" s="30"/>
      <c r="L913" s="30"/>
      <c r="M913" s="30"/>
      <c r="N913" s="30"/>
      <c r="O913" s="21"/>
      <c r="P913" s="21"/>
      <c r="Q913" s="29"/>
    </row>
    <row r="914" ht="15.75" customHeight="1">
      <c r="H914" s="9"/>
      <c r="K914" s="30"/>
      <c r="L914" s="30"/>
      <c r="M914" s="30"/>
      <c r="N914" s="30"/>
      <c r="O914" s="21"/>
      <c r="P914" s="21"/>
      <c r="Q914" s="29"/>
    </row>
    <row r="915" ht="15.75" customHeight="1">
      <c r="H915" s="9"/>
      <c r="K915" s="30"/>
      <c r="L915" s="30"/>
      <c r="M915" s="30"/>
      <c r="N915" s="30"/>
      <c r="O915" s="21"/>
      <c r="P915" s="21"/>
      <c r="Q915" s="29"/>
    </row>
    <row r="916" ht="15.75" customHeight="1">
      <c r="H916" s="9"/>
      <c r="K916" s="30"/>
      <c r="L916" s="30"/>
      <c r="M916" s="30"/>
      <c r="N916" s="30"/>
      <c r="O916" s="21"/>
      <c r="P916" s="21"/>
      <c r="Q916" s="29"/>
    </row>
    <row r="917" ht="15.75" customHeight="1">
      <c r="H917" s="9"/>
      <c r="K917" s="30"/>
      <c r="L917" s="30"/>
      <c r="M917" s="30"/>
      <c r="N917" s="30"/>
      <c r="O917" s="21"/>
      <c r="P917" s="21"/>
      <c r="Q917" s="29"/>
    </row>
    <row r="918" ht="15.75" customHeight="1">
      <c r="H918" s="9"/>
      <c r="K918" s="30"/>
      <c r="L918" s="30"/>
      <c r="M918" s="30"/>
      <c r="N918" s="30"/>
      <c r="O918" s="21"/>
      <c r="P918" s="21"/>
      <c r="Q918" s="29"/>
    </row>
    <row r="919" ht="15.75" customHeight="1">
      <c r="H919" s="9"/>
      <c r="K919" s="30"/>
      <c r="L919" s="30"/>
      <c r="M919" s="30"/>
      <c r="N919" s="30"/>
      <c r="O919" s="21"/>
      <c r="P919" s="21"/>
      <c r="Q919" s="29"/>
    </row>
    <row r="920" ht="15.75" customHeight="1">
      <c r="H920" s="9"/>
      <c r="K920" s="30"/>
      <c r="L920" s="30"/>
      <c r="M920" s="30"/>
      <c r="N920" s="30"/>
      <c r="O920" s="21"/>
      <c r="P920" s="21"/>
      <c r="Q920" s="29"/>
    </row>
    <row r="921" ht="15.75" customHeight="1">
      <c r="H921" s="9"/>
      <c r="K921" s="30"/>
      <c r="L921" s="30"/>
      <c r="M921" s="30"/>
      <c r="N921" s="30"/>
      <c r="O921" s="21"/>
      <c r="P921" s="21"/>
      <c r="Q921" s="29"/>
    </row>
    <row r="922" ht="15.75" customHeight="1">
      <c r="H922" s="9"/>
      <c r="K922" s="30"/>
      <c r="L922" s="30"/>
      <c r="M922" s="30"/>
      <c r="N922" s="30"/>
      <c r="O922" s="21"/>
      <c r="P922" s="21"/>
      <c r="Q922" s="29"/>
    </row>
    <row r="923" ht="15.75" customHeight="1">
      <c r="H923" s="9"/>
      <c r="K923" s="30"/>
      <c r="L923" s="30"/>
      <c r="M923" s="30"/>
      <c r="N923" s="30"/>
      <c r="O923" s="21"/>
      <c r="P923" s="21"/>
      <c r="Q923" s="29"/>
    </row>
    <row r="924" ht="15.75" customHeight="1">
      <c r="H924" s="9"/>
      <c r="K924" s="30"/>
      <c r="L924" s="30"/>
      <c r="M924" s="30"/>
      <c r="N924" s="30"/>
      <c r="O924" s="21"/>
      <c r="P924" s="21"/>
      <c r="Q924" s="29"/>
    </row>
    <row r="925" ht="15.75" customHeight="1">
      <c r="H925" s="9"/>
      <c r="K925" s="30"/>
      <c r="L925" s="30"/>
      <c r="M925" s="30"/>
      <c r="N925" s="30"/>
      <c r="O925" s="21"/>
      <c r="P925" s="21"/>
      <c r="Q925" s="29"/>
    </row>
    <row r="926" ht="15.75" customHeight="1">
      <c r="H926" s="9"/>
      <c r="K926" s="30"/>
      <c r="L926" s="30"/>
      <c r="M926" s="30"/>
      <c r="N926" s="30"/>
      <c r="O926" s="21"/>
      <c r="P926" s="21"/>
      <c r="Q926" s="29"/>
    </row>
    <row r="927" ht="15.75" customHeight="1">
      <c r="H927" s="9"/>
      <c r="K927" s="30"/>
      <c r="L927" s="30"/>
      <c r="M927" s="30"/>
      <c r="N927" s="30"/>
      <c r="O927" s="21"/>
      <c r="P927" s="21"/>
      <c r="Q927" s="29"/>
    </row>
    <row r="928" ht="15.75" customHeight="1">
      <c r="H928" s="9"/>
      <c r="K928" s="30"/>
      <c r="L928" s="30"/>
      <c r="M928" s="30"/>
      <c r="N928" s="30"/>
      <c r="O928" s="21"/>
      <c r="P928" s="21"/>
      <c r="Q928" s="29"/>
    </row>
    <row r="929" ht="15.75" customHeight="1">
      <c r="H929" s="9"/>
      <c r="K929" s="30"/>
      <c r="L929" s="30"/>
      <c r="M929" s="30"/>
      <c r="N929" s="30"/>
      <c r="O929" s="21"/>
      <c r="P929" s="21"/>
      <c r="Q929" s="29"/>
    </row>
    <row r="930" ht="15.75" customHeight="1">
      <c r="H930" s="9"/>
      <c r="K930" s="30"/>
      <c r="L930" s="30"/>
      <c r="M930" s="30"/>
      <c r="N930" s="30"/>
      <c r="O930" s="21"/>
      <c r="P930" s="21"/>
      <c r="Q930" s="29"/>
    </row>
    <row r="931" ht="15.75" customHeight="1">
      <c r="H931" s="9"/>
      <c r="K931" s="30"/>
      <c r="L931" s="30"/>
      <c r="M931" s="30"/>
      <c r="N931" s="30"/>
      <c r="O931" s="21"/>
      <c r="P931" s="21"/>
      <c r="Q931" s="29"/>
    </row>
    <row r="932" ht="15.75" customHeight="1">
      <c r="H932" s="9"/>
      <c r="K932" s="30"/>
      <c r="L932" s="30"/>
      <c r="M932" s="30"/>
      <c r="N932" s="30"/>
      <c r="O932" s="21"/>
      <c r="P932" s="21"/>
      <c r="Q932" s="29"/>
    </row>
    <row r="933" ht="15.75" customHeight="1">
      <c r="H933" s="9"/>
      <c r="K933" s="30"/>
      <c r="L933" s="30"/>
      <c r="M933" s="30"/>
      <c r="N933" s="30"/>
      <c r="O933" s="21"/>
      <c r="P933" s="21"/>
      <c r="Q933" s="29"/>
    </row>
    <row r="934" ht="15.75" customHeight="1">
      <c r="H934" s="9"/>
      <c r="K934" s="30"/>
      <c r="L934" s="30"/>
      <c r="M934" s="30"/>
      <c r="N934" s="30"/>
      <c r="O934" s="21"/>
      <c r="P934" s="21"/>
      <c r="Q934" s="29"/>
    </row>
    <row r="935" ht="15.75" customHeight="1">
      <c r="H935" s="9"/>
      <c r="K935" s="30"/>
      <c r="L935" s="30"/>
      <c r="M935" s="30"/>
      <c r="N935" s="30"/>
      <c r="O935" s="21"/>
      <c r="P935" s="21"/>
      <c r="Q935" s="29"/>
    </row>
    <row r="936" ht="15.75" customHeight="1">
      <c r="H936" s="9"/>
      <c r="K936" s="30"/>
      <c r="L936" s="30"/>
      <c r="M936" s="30"/>
      <c r="N936" s="30"/>
      <c r="O936" s="21"/>
      <c r="P936" s="21"/>
      <c r="Q936" s="29"/>
    </row>
    <row r="937" ht="15.75" customHeight="1">
      <c r="H937" s="9"/>
      <c r="K937" s="30"/>
      <c r="L937" s="30"/>
      <c r="M937" s="30"/>
      <c r="N937" s="30"/>
      <c r="O937" s="21"/>
      <c r="P937" s="21"/>
      <c r="Q937" s="29"/>
    </row>
    <row r="938" ht="15.75" customHeight="1">
      <c r="H938" s="9"/>
      <c r="K938" s="30"/>
      <c r="L938" s="30"/>
      <c r="M938" s="30"/>
      <c r="N938" s="30"/>
      <c r="O938" s="21"/>
      <c r="P938" s="21"/>
      <c r="Q938" s="29"/>
    </row>
    <row r="939" ht="15.75" customHeight="1">
      <c r="H939" s="9"/>
      <c r="K939" s="30"/>
      <c r="L939" s="30"/>
      <c r="M939" s="30"/>
      <c r="N939" s="30"/>
      <c r="O939" s="21"/>
      <c r="P939" s="21"/>
      <c r="Q939" s="29"/>
    </row>
    <row r="940" ht="15.75" customHeight="1">
      <c r="H940" s="9"/>
      <c r="K940" s="30"/>
      <c r="L940" s="30"/>
      <c r="M940" s="30"/>
      <c r="N940" s="30"/>
      <c r="O940" s="21"/>
      <c r="P940" s="21"/>
      <c r="Q940" s="29"/>
    </row>
    <row r="941" ht="15.75" customHeight="1">
      <c r="H941" s="9"/>
      <c r="K941" s="30"/>
      <c r="L941" s="30"/>
      <c r="M941" s="30"/>
      <c r="N941" s="30"/>
      <c r="O941" s="21"/>
      <c r="P941" s="21"/>
      <c r="Q941" s="29"/>
    </row>
    <row r="942" ht="15.75" customHeight="1">
      <c r="H942" s="9"/>
      <c r="K942" s="30"/>
      <c r="L942" s="30"/>
      <c r="M942" s="30"/>
      <c r="N942" s="30"/>
      <c r="O942" s="21"/>
      <c r="P942" s="21"/>
      <c r="Q942" s="29"/>
    </row>
    <row r="943" ht="15.75" customHeight="1">
      <c r="H943" s="9"/>
      <c r="K943" s="30"/>
      <c r="L943" s="30"/>
      <c r="M943" s="30"/>
      <c r="N943" s="30"/>
      <c r="O943" s="21"/>
      <c r="P943" s="21"/>
      <c r="Q943" s="29"/>
    </row>
    <row r="944" ht="15.75" customHeight="1">
      <c r="H944" s="9"/>
      <c r="K944" s="30"/>
      <c r="L944" s="30"/>
      <c r="M944" s="30"/>
      <c r="N944" s="30"/>
      <c r="O944" s="21"/>
      <c r="P944" s="21"/>
      <c r="Q944" s="29"/>
    </row>
    <row r="945" ht="15.75" customHeight="1">
      <c r="H945" s="9"/>
      <c r="K945" s="30"/>
      <c r="L945" s="30"/>
      <c r="M945" s="30"/>
      <c r="N945" s="30"/>
      <c r="O945" s="21"/>
      <c r="P945" s="21"/>
      <c r="Q945" s="29"/>
    </row>
    <row r="946" ht="15.75" customHeight="1">
      <c r="H946" s="9"/>
      <c r="K946" s="30"/>
      <c r="L946" s="30"/>
      <c r="M946" s="30"/>
      <c r="N946" s="30"/>
      <c r="O946" s="21"/>
      <c r="P946" s="21"/>
      <c r="Q946" s="29"/>
    </row>
    <row r="947" ht="15.75" customHeight="1">
      <c r="H947" s="9"/>
      <c r="K947" s="30"/>
      <c r="L947" s="30"/>
      <c r="M947" s="30"/>
      <c r="N947" s="30"/>
      <c r="O947" s="21"/>
      <c r="P947" s="21"/>
      <c r="Q947" s="29"/>
    </row>
    <row r="948" ht="15.75" customHeight="1">
      <c r="H948" s="9"/>
      <c r="K948" s="30"/>
      <c r="L948" s="30"/>
      <c r="M948" s="30"/>
      <c r="N948" s="30"/>
      <c r="O948" s="21"/>
      <c r="P948" s="21"/>
      <c r="Q948" s="29"/>
    </row>
    <row r="949" ht="15.75" customHeight="1">
      <c r="H949" s="9"/>
      <c r="K949" s="30"/>
      <c r="L949" s="30"/>
      <c r="M949" s="30"/>
      <c r="N949" s="30"/>
      <c r="O949" s="21"/>
      <c r="P949" s="21"/>
      <c r="Q949" s="29"/>
    </row>
    <row r="950" ht="15.75" customHeight="1">
      <c r="H950" s="9"/>
      <c r="K950" s="30"/>
      <c r="L950" s="30"/>
      <c r="M950" s="30"/>
      <c r="N950" s="30"/>
      <c r="O950" s="21"/>
      <c r="P950" s="21"/>
      <c r="Q950" s="29"/>
    </row>
    <row r="951" ht="15.75" customHeight="1">
      <c r="H951" s="9"/>
      <c r="K951" s="30"/>
      <c r="L951" s="30"/>
      <c r="M951" s="30"/>
      <c r="N951" s="30"/>
      <c r="O951" s="21"/>
      <c r="P951" s="21"/>
      <c r="Q951" s="29"/>
    </row>
    <row r="952" ht="15.75" customHeight="1">
      <c r="H952" s="9"/>
      <c r="K952" s="30"/>
      <c r="L952" s="30"/>
      <c r="M952" s="30"/>
      <c r="N952" s="30"/>
      <c r="O952" s="21"/>
      <c r="P952" s="21"/>
      <c r="Q952" s="29"/>
    </row>
    <row r="953" ht="15.75" customHeight="1">
      <c r="H953" s="9"/>
      <c r="K953" s="30"/>
      <c r="L953" s="30"/>
      <c r="M953" s="30"/>
      <c r="N953" s="30"/>
      <c r="O953" s="21"/>
      <c r="P953" s="21"/>
      <c r="Q953" s="29"/>
    </row>
    <row r="954" ht="15.75" customHeight="1">
      <c r="H954" s="9"/>
      <c r="K954" s="30"/>
      <c r="L954" s="30"/>
      <c r="M954" s="30"/>
      <c r="N954" s="30"/>
      <c r="O954" s="21"/>
      <c r="P954" s="21"/>
      <c r="Q954" s="29"/>
    </row>
    <row r="955" ht="15.75" customHeight="1">
      <c r="H955" s="9"/>
      <c r="K955" s="30"/>
      <c r="L955" s="30"/>
      <c r="M955" s="30"/>
      <c r="N955" s="30"/>
      <c r="O955" s="21"/>
      <c r="P955" s="21"/>
      <c r="Q955" s="29"/>
    </row>
    <row r="956" ht="15.75" customHeight="1">
      <c r="H956" s="9"/>
      <c r="K956" s="30"/>
      <c r="L956" s="30"/>
      <c r="M956" s="30"/>
      <c r="N956" s="30"/>
      <c r="O956" s="21"/>
      <c r="P956" s="21"/>
      <c r="Q956" s="29"/>
    </row>
    <row r="957" ht="15.75" customHeight="1">
      <c r="H957" s="9"/>
      <c r="K957" s="30"/>
      <c r="L957" s="30"/>
      <c r="M957" s="30"/>
      <c r="N957" s="30"/>
      <c r="O957" s="21"/>
      <c r="P957" s="21"/>
      <c r="Q957" s="29"/>
    </row>
    <row r="958" ht="15.75" customHeight="1">
      <c r="H958" s="9"/>
      <c r="K958" s="30"/>
      <c r="L958" s="30"/>
      <c r="M958" s="30"/>
      <c r="N958" s="30"/>
      <c r="O958" s="21"/>
      <c r="P958" s="21"/>
      <c r="Q958" s="29"/>
    </row>
    <row r="959" ht="15.75" customHeight="1">
      <c r="H959" s="9"/>
      <c r="K959" s="30"/>
      <c r="L959" s="30"/>
      <c r="M959" s="30"/>
      <c r="N959" s="30"/>
      <c r="O959" s="21"/>
      <c r="P959" s="21"/>
      <c r="Q959" s="29"/>
    </row>
    <row r="960" ht="15.75" customHeight="1">
      <c r="H960" s="9"/>
      <c r="K960" s="30"/>
      <c r="L960" s="30"/>
      <c r="M960" s="30"/>
      <c r="N960" s="30"/>
      <c r="O960" s="21"/>
      <c r="P960" s="21"/>
      <c r="Q960" s="29"/>
    </row>
    <row r="961" ht="15.75" customHeight="1">
      <c r="H961" s="9"/>
      <c r="K961" s="30"/>
      <c r="L961" s="30"/>
      <c r="M961" s="30"/>
      <c r="N961" s="30"/>
      <c r="O961" s="21"/>
      <c r="P961" s="21"/>
      <c r="Q961" s="29"/>
    </row>
    <row r="962" ht="15.75" customHeight="1">
      <c r="H962" s="9"/>
      <c r="K962" s="30"/>
      <c r="L962" s="30"/>
      <c r="M962" s="30"/>
      <c r="N962" s="30"/>
      <c r="O962" s="21"/>
      <c r="P962" s="21"/>
      <c r="Q962" s="29"/>
    </row>
    <row r="963" ht="15.75" customHeight="1">
      <c r="H963" s="9"/>
      <c r="K963" s="30"/>
      <c r="L963" s="30"/>
      <c r="M963" s="30"/>
      <c r="N963" s="30"/>
      <c r="O963" s="21"/>
      <c r="P963" s="21"/>
      <c r="Q963" s="29"/>
    </row>
    <row r="964" ht="15.75" customHeight="1">
      <c r="H964" s="9"/>
      <c r="K964" s="30"/>
      <c r="L964" s="30"/>
      <c r="M964" s="30"/>
      <c r="N964" s="30"/>
      <c r="O964" s="21"/>
      <c r="P964" s="21"/>
      <c r="Q964" s="29"/>
    </row>
    <row r="965" ht="15.75" customHeight="1">
      <c r="H965" s="9"/>
      <c r="K965" s="30"/>
      <c r="L965" s="30"/>
      <c r="M965" s="30"/>
      <c r="N965" s="30"/>
      <c r="O965" s="21"/>
      <c r="P965" s="21"/>
      <c r="Q965" s="29"/>
    </row>
    <row r="966" ht="15.75" customHeight="1">
      <c r="H966" s="9"/>
      <c r="K966" s="30"/>
      <c r="L966" s="30"/>
      <c r="M966" s="30"/>
      <c r="N966" s="30"/>
      <c r="O966" s="21"/>
      <c r="P966" s="21"/>
      <c r="Q966" s="29"/>
    </row>
    <row r="967" ht="15.75" customHeight="1">
      <c r="H967" s="9"/>
      <c r="K967" s="30"/>
      <c r="L967" s="30"/>
      <c r="M967" s="30"/>
      <c r="N967" s="30"/>
      <c r="O967" s="21"/>
      <c r="P967" s="21"/>
      <c r="Q967" s="29"/>
    </row>
    <row r="968" ht="15.75" customHeight="1">
      <c r="H968" s="9"/>
      <c r="K968" s="30"/>
      <c r="L968" s="30"/>
      <c r="M968" s="30"/>
      <c r="N968" s="30"/>
      <c r="O968" s="21"/>
      <c r="P968" s="21"/>
      <c r="Q968" s="29"/>
    </row>
    <row r="969" ht="15.75" customHeight="1">
      <c r="H969" s="9"/>
      <c r="K969" s="30"/>
      <c r="L969" s="30"/>
      <c r="M969" s="30"/>
      <c r="N969" s="30"/>
      <c r="O969" s="21"/>
      <c r="P969" s="21"/>
      <c r="Q969" s="29"/>
    </row>
    <row r="970" ht="15.75" customHeight="1">
      <c r="H970" s="9"/>
      <c r="K970" s="30"/>
      <c r="L970" s="30"/>
      <c r="M970" s="30"/>
      <c r="N970" s="30"/>
      <c r="O970" s="21"/>
      <c r="P970" s="21"/>
      <c r="Q970" s="29"/>
    </row>
    <row r="971" ht="15.75" customHeight="1">
      <c r="H971" s="9"/>
      <c r="K971" s="30"/>
      <c r="L971" s="30"/>
      <c r="M971" s="30"/>
      <c r="N971" s="30"/>
      <c r="O971" s="21"/>
      <c r="P971" s="21"/>
      <c r="Q971" s="29"/>
    </row>
    <row r="972" ht="15.75" customHeight="1">
      <c r="H972" s="9"/>
      <c r="K972" s="30"/>
      <c r="L972" s="30"/>
      <c r="M972" s="30"/>
      <c r="N972" s="30"/>
      <c r="O972" s="21"/>
      <c r="P972" s="21"/>
      <c r="Q972" s="29"/>
    </row>
    <row r="973" ht="15.75" customHeight="1">
      <c r="H973" s="9"/>
      <c r="K973" s="30"/>
      <c r="L973" s="30"/>
      <c r="M973" s="30"/>
      <c r="N973" s="30"/>
      <c r="O973" s="21"/>
      <c r="P973" s="21"/>
      <c r="Q973" s="29"/>
    </row>
    <row r="974" ht="15.75" customHeight="1">
      <c r="H974" s="9"/>
      <c r="K974" s="30"/>
      <c r="L974" s="30"/>
      <c r="M974" s="30"/>
      <c r="N974" s="30"/>
      <c r="O974" s="21"/>
      <c r="P974" s="21"/>
      <c r="Q974" s="29"/>
    </row>
    <row r="975" ht="15.75" customHeight="1">
      <c r="H975" s="9"/>
      <c r="K975" s="30"/>
      <c r="L975" s="30"/>
      <c r="M975" s="30"/>
      <c r="N975" s="30"/>
      <c r="O975" s="21"/>
      <c r="P975" s="21"/>
      <c r="Q975" s="29"/>
    </row>
    <row r="976" ht="15.75" customHeight="1">
      <c r="H976" s="9"/>
      <c r="K976" s="30"/>
      <c r="L976" s="30"/>
      <c r="M976" s="30"/>
      <c r="N976" s="30"/>
      <c r="O976" s="21"/>
      <c r="P976" s="21"/>
      <c r="Q976" s="29"/>
    </row>
    <row r="977" ht="15.75" customHeight="1">
      <c r="H977" s="9"/>
      <c r="K977" s="30"/>
      <c r="L977" s="30"/>
      <c r="M977" s="30"/>
      <c r="N977" s="30"/>
      <c r="O977" s="21"/>
      <c r="P977" s="21"/>
      <c r="Q977" s="29"/>
    </row>
    <row r="978" ht="15.75" customHeight="1">
      <c r="H978" s="9"/>
      <c r="K978" s="30"/>
      <c r="L978" s="30"/>
      <c r="M978" s="30"/>
      <c r="N978" s="30"/>
      <c r="O978" s="21"/>
      <c r="P978" s="21"/>
      <c r="Q978" s="29"/>
    </row>
    <row r="979" ht="15.75" customHeight="1">
      <c r="H979" s="9"/>
      <c r="K979" s="30"/>
      <c r="L979" s="30"/>
      <c r="M979" s="30"/>
      <c r="N979" s="30"/>
      <c r="O979" s="21"/>
      <c r="P979" s="21"/>
      <c r="Q979" s="29"/>
    </row>
    <row r="980" ht="15.75" customHeight="1">
      <c r="H980" s="9"/>
      <c r="K980" s="30"/>
      <c r="L980" s="30"/>
      <c r="M980" s="30"/>
      <c r="N980" s="30"/>
      <c r="O980" s="21"/>
      <c r="P980" s="21"/>
      <c r="Q980" s="29"/>
    </row>
    <row r="981" ht="15.75" customHeight="1">
      <c r="H981" s="9"/>
      <c r="K981" s="30"/>
      <c r="L981" s="30"/>
      <c r="M981" s="30"/>
      <c r="N981" s="30"/>
      <c r="O981" s="21"/>
      <c r="P981" s="21"/>
      <c r="Q981" s="29"/>
    </row>
    <row r="982" ht="15.75" customHeight="1">
      <c r="H982" s="9"/>
      <c r="K982" s="30"/>
      <c r="L982" s="30"/>
      <c r="M982" s="30"/>
      <c r="N982" s="30"/>
      <c r="O982" s="21"/>
      <c r="P982" s="21"/>
      <c r="Q982" s="29"/>
    </row>
    <row r="983" ht="15.75" customHeight="1">
      <c r="H983" s="9"/>
      <c r="K983" s="30"/>
      <c r="L983" s="30"/>
      <c r="M983" s="30"/>
      <c r="N983" s="30"/>
      <c r="O983" s="21"/>
      <c r="P983" s="21"/>
      <c r="Q983" s="29"/>
    </row>
    <row r="984" ht="15.75" customHeight="1">
      <c r="H984" s="9"/>
      <c r="K984" s="30"/>
      <c r="L984" s="30"/>
      <c r="M984" s="30"/>
      <c r="N984" s="30"/>
      <c r="O984" s="21"/>
      <c r="P984" s="21"/>
      <c r="Q984" s="29"/>
    </row>
    <row r="985" ht="15.75" customHeight="1">
      <c r="H985" s="9"/>
      <c r="K985" s="30"/>
      <c r="L985" s="30"/>
      <c r="M985" s="30"/>
      <c r="N985" s="30"/>
      <c r="O985" s="21"/>
      <c r="P985" s="21"/>
      <c r="Q985" s="29"/>
    </row>
    <row r="986" ht="15.75" customHeight="1">
      <c r="H986" s="9"/>
      <c r="K986" s="30"/>
      <c r="L986" s="30"/>
      <c r="M986" s="30"/>
      <c r="N986" s="30"/>
      <c r="O986" s="21"/>
      <c r="P986" s="21"/>
      <c r="Q986" s="29"/>
    </row>
    <row r="987" ht="15.75" customHeight="1">
      <c r="H987" s="9"/>
      <c r="K987" s="30"/>
      <c r="L987" s="30"/>
      <c r="M987" s="30"/>
      <c r="N987" s="30"/>
      <c r="O987" s="21"/>
      <c r="P987" s="21"/>
      <c r="Q987" s="29"/>
    </row>
    <row r="988" ht="15.75" customHeight="1">
      <c r="H988" s="9"/>
      <c r="K988" s="30"/>
      <c r="L988" s="30"/>
      <c r="M988" s="30"/>
      <c r="N988" s="30"/>
      <c r="O988" s="21"/>
      <c r="P988" s="21"/>
      <c r="Q988" s="29"/>
    </row>
    <row r="989" ht="15.75" customHeight="1">
      <c r="H989" s="9"/>
      <c r="K989" s="30"/>
      <c r="L989" s="30"/>
      <c r="M989" s="30"/>
      <c r="N989" s="30"/>
      <c r="O989" s="21"/>
      <c r="P989" s="21"/>
      <c r="Q989" s="29"/>
    </row>
    <row r="990" ht="15.75" customHeight="1">
      <c r="H990" s="9"/>
      <c r="K990" s="30"/>
      <c r="L990" s="30"/>
      <c r="M990" s="30"/>
      <c r="N990" s="30"/>
      <c r="O990" s="21"/>
      <c r="P990" s="21"/>
      <c r="Q990" s="29"/>
    </row>
    <row r="991" ht="15.75" customHeight="1">
      <c r="H991" s="9"/>
      <c r="K991" s="30"/>
      <c r="L991" s="30"/>
      <c r="M991" s="30"/>
      <c r="N991" s="30"/>
      <c r="O991" s="21"/>
      <c r="P991" s="21"/>
      <c r="Q991" s="29"/>
    </row>
    <row r="992" ht="15.75" customHeight="1">
      <c r="H992" s="9"/>
      <c r="K992" s="30"/>
      <c r="L992" s="30"/>
      <c r="M992" s="30"/>
      <c r="N992" s="30"/>
      <c r="O992" s="21"/>
      <c r="P992" s="21"/>
      <c r="Q992" s="29"/>
    </row>
    <row r="993" ht="15.75" customHeight="1">
      <c r="H993" s="9"/>
      <c r="K993" s="30"/>
      <c r="L993" s="30"/>
      <c r="M993" s="30"/>
      <c r="N993" s="30"/>
      <c r="O993" s="21"/>
      <c r="P993" s="21"/>
      <c r="Q993" s="29"/>
    </row>
    <row r="994" ht="15.75" customHeight="1">
      <c r="H994" s="9"/>
      <c r="K994" s="30"/>
      <c r="L994" s="30"/>
      <c r="M994" s="30"/>
      <c r="N994" s="30"/>
      <c r="O994" s="21"/>
      <c r="P994" s="21"/>
      <c r="Q994" s="29"/>
    </row>
    <row r="995" ht="15.75" customHeight="1">
      <c r="H995" s="9"/>
      <c r="K995" s="30"/>
      <c r="L995" s="30"/>
      <c r="M995" s="30"/>
      <c r="N995" s="30"/>
      <c r="O995" s="21"/>
      <c r="P995" s="21"/>
      <c r="Q995" s="29"/>
    </row>
    <row r="996" ht="15.75" customHeight="1">
      <c r="H996" s="9"/>
      <c r="K996" s="30"/>
      <c r="L996" s="30"/>
      <c r="M996" s="30"/>
      <c r="N996" s="30"/>
      <c r="O996" s="21"/>
      <c r="P996" s="21"/>
      <c r="Q996" s="29"/>
    </row>
  </sheetData>
  <mergeCells count="1">
    <mergeCell ref="K2:M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2.0"/>
  </cols>
  <sheetData>
    <row r="1"/>
    <row r="2"/>
    <row r="3"/>
    <row r="4"/>
    <row r="5"/>
    <row r="6"/>
    <row r="7"/>
    <row r="8"/>
  </sheetData>
  <drawing r:id="rId2"/>
</worksheet>
</file>